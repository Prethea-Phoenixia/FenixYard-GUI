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8.xml" ContentType="application/vnd.openxmlformats-officedocument.spreadsheetml.comments+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9.xml" ContentType="application/vnd.openxmlformats-officedocument.spreadsheetml.comments+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omments10.xml" ContentType="application/vnd.openxmlformats-officedocument.spreadsheetml.comments+xml"/>
  <Override PartName="/xl/drawings/drawing8.xml" ContentType="application/vnd.openxmlformats-officedocument.drawing+xml"/>
  <Override PartName="/xl/comments11.xml" ContentType="application/vnd.openxmlformats-officedocument.spreadsheetml.comments+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trlProps/ctrlProp7.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drawings/drawing10.xml" ContentType="application/vnd.openxmlformats-officedocument.drawing+xml"/>
  <Override PartName="/xl/comments14.xml" ContentType="application/vnd.openxmlformats-officedocument.spreadsheetml.comment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7.xml" ContentType="application/vnd.openxmlformats-officedocument.spreadsheetml.table+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autoCompressPictures="0"/>
  <mc:AlternateContent xmlns:mc="http://schemas.openxmlformats.org/markup-compatibility/2006">
    <mc:Choice Requires="x15">
      <x15ac:absPath xmlns:x15ac="http://schemas.microsoft.com/office/spreadsheetml/2010/11/ac" url="C:\Users\91496\Documents\GitHub\FenixYard-GUI\Ref\"/>
    </mc:Choice>
  </mc:AlternateContent>
  <xr:revisionPtr revIDLastSave="0" documentId="13_ncr:1_{8B986123-F40D-4D35-9C37-1BF11DB6B012}" xr6:coauthVersionLast="45" xr6:coauthVersionMax="45" xr10:uidLastSave="{00000000-0000-0000-0000-000000000000}"/>
  <bookViews>
    <workbookView xWindow="-98" yWindow="-98" windowWidth="20715" windowHeight="13276" firstSheet="8" activeTab="9" xr2:uid="{9905F6BE-44BE-4820-883B-AF40040C5E86}"/>
  </bookViews>
  <sheets>
    <sheet name="yard notice" sheetId="4" r:id="rId1"/>
    <sheet name="Thermal" sheetId="19" r:id="rId2"/>
    <sheet name="Material" sheetId="5" r:id="rId3"/>
    <sheet name="Explosive" sheetId="15" r:id="rId4"/>
    <sheet name="Propulsion" sheetId="21" r:id="rId5"/>
    <sheet name="A.W.M." sheetId="17" state="hidden" r:id="rId6"/>
    <sheet name="Iso" sheetId="26" state="hidden" r:id="rId7"/>
    <sheet name="Rad.Shd" sheetId="20" r:id="rId8"/>
    <sheet name="Misc.Ref" sheetId="11" r:id="rId9"/>
    <sheet name="Orion" sheetId="32" r:id="rId10"/>
    <sheet name="Shaped Charge" sheetId="34" r:id="rId11"/>
    <sheet name="Nuke" sheetId="18" r:id="rId12"/>
    <sheet name="Reactor" sheetId="25" r:id="rId13"/>
    <sheet name="Detection" sheetId="27" r:id="rId14"/>
    <sheet name="Gun" sheetId="16" r:id="rId15"/>
    <sheet name="Railgun" sheetId="22" r:id="rId16"/>
    <sheet name="Flak" sheetId="23" r:id="rId17"/>
    <sheet name="Particle Beam" sheetId="33" r:id="rId18"/>
    <sheet name="C.M." sheetId="29" r:id="rId19"/>
    <sheet name="S.I." sheetId="30" r:id="rId20"/>
    <sheet name="CW Laser" sheetId="8" r:id="rId21"/>
    <sheet name="Terminal" sheetId="6" r:id="rId22"/>
    <sheet name="Leak" sheetId="13" r:id="rId23"/>
    <sheet name="Hit" sheetId="24" r:id="rId24"/>
  </sheets>
  <functionGroups builtInGroupCount="19">
    <functionGroup name="xlwings"/>
  </functionGroups>
  <externalReferences>
    <externalReference r:id="rId25"/>
  </externalReferences>
  <definedNames>
    <definedName name="_xlnm._FilterDatabase" localSheetId="8" hidden="1">Misc.Ref!$B$4:$F$124</definedName>
    <definedName name="_xlchart.v1.0" hidden="1">Gun!$Q$18:$Q$24</definedName>
    <definedName name="_xlchart.v1.1" hidden="1">Gun!$R$18:$R$24</definedName>
    <definedName name="Cone_Length">'Shaped Charge'!$T$2</definedName>
    <definedName name="Diameter_of_Charge">'Shaped Charge'!$G$10</definedName>
    <definedName name="Neutron_Flux" localSheetId="12">Reactor!$I$5</definedName>
    <definedName name="Point_Blank_Pen">'Shaped Charge'!$H$31</definedName>
    <definedName name="solver_adj" localSheetId="20" hidden="1">'CW Laser'!$P$18</definedName>
    <definedName name="solver_adj" localSheetId="14" hidden="1">Gun!$D$22</definedName>
    <definedName name="solver_adj" localSheetId="11" hidden="1">Nuke!$G$48</definedName>
    <definedName name="solver_adj" localSheetId="9" hidden="1">Orion!$E$15</definedName>
    <definedName name="solver_cvg" localSheetId="20" hidden="1">0.0001</definedName>
    <definedName name="solver_cvg" localSheetId="14" hidden="1">0.0001</definedName>
    <definedName name="solver_cvg" localSheetId="11" hidden="1">0.0001</definedName>
    <definedName name="solver_cvg" localSheetId="9" hidden="1">0.0001</definedName>
    <definedName name="solver_drv" localSheetId="20" hidden="1">2</definedName>
    <definedName name="solver_drv" localSheetId="14" hidden="1">2</definedName>
    <definedName name="solver_drv" localSheetId="11" hidden="1">1</definedName>
    <definedName name="solver_drv" localSheetId="9" hidden="1">1</definedName>
    <definedName name="solver_eng" localSheetId="20" hidden="1">1</definedName>
    <definedName name="solver_eng" localSheetId="14" hidden="1">1</definedName>
    <definedName name="solver_eng" localSheetId="11" hidden="1">1</definedName>
    <definedName name="solver_eng" localSheetId="9" hidden="1">1</definedName>
    <definedName name="solver_est" localSheetId="20" hidden="1">1</definedName>
    <definedName name="solver_est" localSheetId="14" hidden="1">1</definedName>
    <definedName name="solver_est" localSheetId="11" hidden="1">1</definedName>
    <definedName name="solver_est" localSheetId="9" hidden="1">1</definedName>
    <definedName name="solver_itr" localSheetId="20" hidden="1">2147483647</definedName>
    <definedName name="solver_itr" localSheetId="14" hidden="1">2147483647</definedName>
    <definedName name="solver_itr" localSheetId="11" hidden="1">2147483647</definedName>
    <definedName name="solver_itr" localSheetId="9" hidden="1">2147483647</definedName>
    <definedName name="solver_lhs1" localSheetId="20" hidden="1">'CW Laser'!$P$23</definedName>
    <definedName name="solver_lhs1" localSheetId="14" hidden="1">Gun!$D$22</definedName>
    <definedName name="solver_lhs1" localSheetId="11" hidden="1">Nuke!$G$48</definedName>
    <definedName name="solver_lhs10" localSheetId="14" hidden="1">Gun!$D$22</definedName>
    <definedName name="solver_lhs10" localSheetId="11" hidden="1">Nuke!$G$9</definedName>
    <definedName name="solver_lhs100" localSheetId="14" hidden="1">Gun!$D$22</definedName>
    <definedName name="solver_lhs100" localSheetId="11" hidden="1">Nuke!$G$9</definedName>
    <definedName name="solver_lhs101" localSheetId="14" hidden="1">Gun!$D$22</definedName>
    <definedName name="solver_lhs101" localSheetId="11" hidden="1">Nuke!$G$9</definedName>
    <definedName name="solver_lhs102" localSheetId="14" hidden="1">Gun!$D$22</definedName>
    <definedName name="solver_lhs102" localSheetId="11" hidden="1">Nuke!$G$9</definedName>
    <definedName name="solver_lhs103" localSheetId="14" hidden="1">Gun!$D$22</definedName>
    <definedName name="solver_lhs103" localSheetId="11" hidden="1">Nuke!$G$9</definedName>
    <definedName name="solver_lhs104" localSheetId="14" hidden="1">Gun!$D$22</definedName>
    <definedName name="solver_lhs104" localSheetId="11" hidden="1">Nuke!$G$9</definedName>
    <definedName name="solver_lhs105" localSheetId="14" hidden="1">Gun!$D$22</definedName>
    <definedName name="solver_lhs105" localSheetId="11" hidden="1">Nuke!$G$9</definedName>
    <definedName name="solver_lhs106" localSheetId="14" hidden="1">Gun!$D$22</definedName>
    <definedName name="solver_lhs106" localSheetId="11" hidden="1">Nuke!$G$9</definedName>
    <definedName name="solver_lhs107" localSheetId="14" hidden="1">Gun!$D$22</definedName>
    <definedName name="solver_lhs107" localSheetId="11" hidden="1">Nuke!$G$9</definedName>
    <definedName name="solver_lhs108" localSheetId="14" hidden="1">Gun!$D$22</definedName>
    <definedName name="solver_lhs108" localSheetId="11" hidden="1">Nuke!$G$9</definedName>
    <definedName name="solver_lhs109" localSheetId="14" hidden="1">Gun!$D$22</definedName>
    <definedName name="solver_lhs109" localSheetId="11" hidden="1">Nuke!$G$9</definedName>
    <definedName name="solver_lhs11" localSheetId="14" hidden="1">Gun!$D$22</definedName>
    <definedName name="solver_lhs11" localSheetId="11" hidden="1">Nuke!$G$9</definedName>
    <definedName name="solver_lhs110" localSheetId="14" hidden="1">Gun!$D$22</definedName>
    <definedName name="solver_lhs110" localSheetId="11" hidden="1">Nuke!$G$9</definedName>
    <definedName name="solver_lhs111" localSheetId="14" hidden="1">Gun!$D$22</definedName>
    <definedName name="solver_lhs111" localSheetId="11" hidden="1">Nuke!$G$9</definedName>
    <definedName name="solver_lhs112" localSheetId="14" hidden="1">Gun!$D$22</definedName>
    <definedName name="solver_lhs112" localSheetId="11" hidden="1">Nuke!$G$9</definedName>
    <definedName name="solver_lhs113" localSheetId="14" hidden="1">Gun!$D$22</definedName>
    <definedName name="solver_lhs113" localSheetId="11" hidden="1">Nuke!$G$9</definedName>
    <definedName name="solver_lhs114" localSheetId="14" hidden="1">Gun!$D$22</definedName>
    <definedName name="solver_lhs114" localSheetId="11" hidden="1">Nuke!$G$9</definedName>
    <definedName name="solver_lhs115" localSheetId="14" hidden="1">Gun!$D$22</definedName>
    <definedName name="solver_lhs115" localSheetId="11" hidden="1">Nuke!$G$9</definedName>
    <definedName name="solver_lhs116" localSheetId="14" hidden="1">Gun!$D$22</definedName>
    <definedName name="solver_lhs116" localSheetId="11" hidden="1">Nuke!$G$9</definedName>
    <definedName name="solver_lhs117" localSheetId="14" hidden="1">Gun!$D$22</definedName>
    <definedName name="solver_lhs118" localSheetId="14" hidden="1">Gun!$D$22</definedName>
    <definedName name="solver_lhs119" localSheetId="14" hidden="1">Gun!$D$22</definedName>
    <definedName name="solver_lhs12" localSheetId="14" hidden="1">Gun!$D$22</definedName>
    <definedName name="solver_lhs12" localSheetId="11" hidden="1">Nuke!$G$9</definedName>
    <definedName name="solver_lhs120" localSheetId="14" hidden="1">Gun!$D$22</definedName>
    <definedName name="solver_lhs121" localSheetId="14" hidden="1">Gun!$D$22</definedName>
    <definedName name="solver_lhs122" localSheetId="14" hidden="1">Gun!$D$22</definedName>
    <definedName name="solver_lhs123" localSheetId="14" hidden="1">Gun!$D$22</definedName>
    <definedName name="solver_lhs124" localSheetId="14" hidden="1">Gun!$D$22</definedName>
    <definedName name="solver_lhs125" localSheetId="14" hidden="1">Gun!$D$22</definedName>
    <definedName name="solver_lhs126" localSheetId="14" hidden="1">Gun!$D$22</definedName>
    <definedName name="solver_lhs127" localSheetId="14" hidden="1">Gun!$D$22</definedName>
    <definedName name="solver_lhs128" localSheetId="14" hidden="1">Gun!$D$22</definedName>
    <definedName name="solver_lhs129" localSheetId="14" hidden="1">Gun!$D$22</definedName>
    <definedName name="solver_lhs13" localSheetId="14" hidden="1">Gun!$D$22</definedName>
    <definedName name="solver_lhs13" localSheetId="11" hidden="1">Nuke!$G$9</definedName>
    <definedName name="solver_lhs130" localSheetId="14" hidden="1">Gun!$D$22</definedName>
    <definedName name="solver_lhs131" localSheetId="14" hidden="1">Gun!$D$22</definedName>
    <definedName name="solver_lhs132" localSheetId="14" hidden="1">Gun!$D$22</definedName>
    <definedName name="solver_lhs133" localSheetId="14" hidden="1">Gun!$D$22</definedName>
    <definedName name="solver_lhs134" localSheetId="14" hidden="1">Gun!$D$22</definedName>
    <definedName name="solver_lhs135" localSheetId="14" hidden="1">Gun!$D$22</definedName>
    <definedName name="solver_lhs136" localSheetId="14" hidden="1">Gun!$D$22</definedName>
    <definedName name="solver_lhs137" localSheetId="14" hidden="1">Gun!$D$22</definedName>
    <definedName name="solver_lhs138" localSheetId="14" hidden="1">Gun!$D$22</definedName>
    <definedName name="solver_lhs139" localSheetId="14" hidden="1">Gun!$D$22</definedName>
    <definedName name="solver_lhs14" localSheetId="14" hidden="1">Gun!$D$22</definedName>
    <definedName name="solver_lhs14" localSheetId="11" hidden="1">Nuke!$G$9</definedName>
    <definedName name="solver_lhs140" localSheetId="14" hidden="1">Gun!$D$22</definedName>
    <definedName name="solver_lhs141" localSheetId="14" hidden="1">Gun!$D$22</definedName>
    <definedName name="solver_lhs142" localSheetId="14" hidden="1">Gun!$D$22</definedName>
    <definedName name="solver_lhs143" localSheetId="14" hidden="1">Gun!$D$22</definedName>
    <definedName name="solver_lhs144" localSheetId="14" hidden="1">Gun!$D$22</definedName>
    <definedName name="solver_lhs145" localSheetId="14" hidden="1">Gun!$D$22</definedName>
    <definedName name="solver_lhs146" localSheetId="14" hidden="1">Gun!$D$22</definedName>
    <definedName name="solver_lhs147" localSheetId="14" hidden="1">Gun!$D$22</definedName>
    <definedName name="solver_lhs148" localSheetId="14" hidden="1">Gun!$D$22</definedName>
    <definedName name="solver_lhs149" localSheetId="14" hidden="1">Gun!$D$22</definedName>
    <definedName name="solver_lhs15" localSheetId="14" hidden="1">Gun!$D$22</definedName>
    <definedName name="solver_lhs15" localSheetId="11" hidden="1">Nuke!$G$9</definedName>
    <definedName name="solver_lhs150" localSheetId="14" hidden="1">Gun!$D$22</definedName>
    <definedName name="solver_lhs151" localSheetId="14" hidden="1">Gun!$D$22</definedName>
    <definedName name="solver_lhs152" localSheetId="14" hidden="1">Gun!$D$22</definedName>
    <definedName name="solver_lhs153" localSheetId="14" hidden="1">Gun!$D$22</definedName>
    <definedName name="solver_lhs154" localSheetId="14" hidden="1">Gun!$D$22</definedName>
    <definedName name="solver_lhs155" localSheetId="14" hidden="1">Gun!$D$22</definedName>
    <definedName name="solver_lhs156" localSheetId="14" hidden="1">Gun!$D$22</definedName>
    <definedName name="solver_lhs157" localSheetId="14" hidden="1">Gun!$D$22</definedName>
    <definedName name="solver_lhs158" localSheetId="14" hidden="1">Gun!$D$22</definedName>
    <definedName name="solver_lhs159" localSheetId="14" hidden="1">Gun!$D$22</definedName>
    <definedName name="solver_lhs16" localSheetId="14" hidden="1">Gun!$D$22</definedName>
    <definedName name="solver_lhs16" localSheetId="11" hidden="1">Nuke!$G$9</definedName>
    <definedName name="solver_lhs160" localSheetId="14" hidden="1">Gun!$D$22</definedName>
    <definedName name="solver_lhs161" localSheetId="14" hidden="1">Gun!$D$22</definedName>
    <definedName name="solver_lhs162" localSheetId="14" hidden="1">Gun!$D$22</definedName>
    <definedName name="solver_lhs163" localSheetId="14" hidden="1">Gun!$D$22</definedName>
    <definedName name="solver_lhs164" localSheetId="14" hidden="1">Gun!$D$22</definedName>
    <definedName name="solver_lhs165" localSheetId="14" hidden="1">Gun!$D$22</definedName>
    <definedName name="solver_lhs166" localSheetId="14" hidden="1">Gun!$D$22</definedName>
    <definedName name="solver_lhs167" localSheetId="14" hidden="1">Gun!$D$22</definedName>
    <definedName name="solver_lhs168" localSheetId="14" hidden="1">Gun!$D$22</definedName>
    <definedName name="solver_lhs169" localSheetId="14" hidden="1">Gun!$D$22</definedName>
    <definedName name="solver_lhs17" localSheetId="14" hidden="1">Gun!$D$22</definedName>
    <definedName name="solver_lhs17" localSheetId="11" hidden="1">Nuke!$G$9</definedName>
    <definedName name="solver_lhs170" localSheetId="14" hidden="1">Gun!$D$22</definedName>
    <definedName name="solver_lhs171" localSheetId="14" hidden="1">Gun!$D$22</definedName>
    <definedName name="solver_lhs172" localSheetId="14" hidden="1">Gun!$D$22</definedName>
    <definedName name="solver_lhs173" localSheetId="14" hidden="1">Gun!$D$22</definedName>
    <definedName name="solver_lhs174" localSheetId="14" hidden="1">Gun!$D$22</definedName>
    <definedName name="solver_lhs175" localSheetId="14" hidden="1">Gun!$D$22</definedName>
    <definedName name="solver_lhs176" localSheetId="14" hidden="1">Gun!$D$22</definedName>
    <definedName name="solver_lhs177" localSheetId="14" hidden="1">Gun!$D$22</definedName>
    <definedName name="solver_lhs178" localSheetId="14" hidden="1">Gun!$D$22</definedName>
    <definedName name="solver_lhs179" localSheetId="14" hidden="1">Gun!$D$22</definedName>
    <definedName name="solver_lhs18" localSheetId="14" hidden="1">Gun!$D$22</definedName>
    <definedName name="solver_lhs18" localSheetId="11" hidden="1">Nuke!$G$9</definedName>
    <definedName name="solver_lhs180" localSheetId="14" hidden="1">Gun!$D$22</definedName>
    <definedName name="solver_lhs181" localSheetId="14" hidden="1">Gun!$D$22</definedName>
    <definedName name="solver_lhs182" localSheetId="14" hidden="1">Gun!$D$22</definedName>
    <definedName name="solver_lhs183" localSheetId="14" hidden="1">Gun!$D$22</definedName>
    <definedName name="solver_lhs184" localSheetId="14" hidden="1">Gun!$D$22</definedName>
    <definedName name="solver_lhs185" localSheetId="14" hidden="1">Gun!$D$22</definedName>
    <definedName name="solver_lhs186" localSheetId="14" hidden="1">Gun!$D$22</definedName>
    <definedName name="solver_lhs187" localSheetId="14" hidden="1">Gun!$D$22</definedName>
    <definedName name="solver_lhs188" localSheetId="14" hidden="1">Gun!$D$22</definedName>
    <definedName name="solver_lhs189" localSheetId="14" hidden="1">Gun!$D$22</definedName>
    <definedName name="solver_lhs19" localSheetId="14" hidden="1">Gun!$D$22</definedName>
    <definedName name="solver_lhs19" localSheetId="11" hidden="1">Nuke!$G$9</definedName>
    <definedName name="solver_lhs190" localSheetId="14" hidden="1">Gun!$D$22</definedName>
    <definedName name="solver_lhs191" localSheetId="14" hidden="1">Gun!$D$22</definedName>
    <definedName name="solver_lhs192" localSheetId="14" hidden="1">Gun!$D$22</definedName>
    <definedName name="solver_lhs193" localSheetId="14" hidden="1">Gun!$D$22</definedName>
    <definedName name="solver_lhs194" localSheetId="14" hidden="1">Gun!$D$22</definedName>
    <definedName name="solver_lhs195" localSheetId="14" hidden="1">Gun!$D$22</definedName>
    <definedName name="solver_lhs196" localSheetId="14" hidden="1">Gun!$D$22</definedName>
    <definedName name="solver_lhs197" localSheetId="14" hidden="1">Gun!$D$22</definedName>
    <definedName name="solver_lhs198" localSheetId="14" hidden="1">Gun!$D$22</definedName>
    <definedName name="solver_lhs199" localSheetId="14" hidden="1">Gun!$D$22</definedName>
    <definedName name="solver_lhs2" localSheetId="20" hidden="1">'CW Laser'!$P$23</definedName>
    <definedName name="solver_lhs2" localSheetId="14" hidden="1">Gun!$D$22</definedName>
    <definedName name="solver_lhs2" localSheetId="11" hidden="1">Nuke!$G$9</definedName>
    <definedName name="solver_lhs20" localSheetId="14" hidden="1">Gun!$D$22</definedName>
    <definedName name="solver_lhs20" localSheetId="11" hidden="1">Nuke!$G$9</definedName>
    <definedName name="solver_lhs200" localSheetId="14" hidden="1">Gun!$D$22</definedName>
    <definedName name="solver_lhs201" localSheetId="14" hidden="1">Gun!$D$22</definedName>
    <definedName name="solver_lhs202" localSheetId="14" hidden="1">Gun!$D$22</definedName>
    <definedName name="solver_lhs203" localSheetId="14" hidden="1">Gun!$D$22</definedName>
    <definedName name="solver_lhs204" localSheetId="14" hidden="1">Gun!$D$22</definedName>
    <definedName name="solver_lhs205" localSheetId="14" hidden="1">Gun!$D$22</definedName>
    <definedName name="solver_lhs206" localSheetId="14" hidden="1">Gun!$D$22</definedName>
    <definedName name="solver_lhs207" localSheetId="14" hidden="1">Gun!$D$22</definedName>
    <definedName name="solver_lhs208" localSheetId="14" hidden="1">Gun!$D$22</definedName>
    <definedName name="solver_lhs209" localSheetId="14" hidden="1">Gun!$D$22</definedName>
    <definedName name="solver_lhs21" localSheetId="14" hidden="1">Gun!$D$22</definedName>
    <definedName name="solver_lhs21" localSheetId="11" hidden="1">Nuke!$G$9</definedName>
    <definedName name="solver_lhs210" localSheetId="14" hidden="1">Gun!$D$22</definedName>
    <definedName name="solver_lhs211" localSheetId="14" hidden="1">Gun!$D$22</definedName>
    <definedName name="solver_lhs212" localSheetId="14" hidden="1">Gun!$D$22</definedName>
    <definedName name="solver_lhs213" localSheetId="14" hidden="1">Gun!$D$22</definedName>
    <definedName name="solver_lhs214" localSheetId="14" hidden="1">Gun!$D$22</definedName>
    <definedName name="solver_lhs215" localSheetId="14" hidden="1">Gun!$D$22</definedName>
    <definedName name="solver_lhs216" localSheetId="14" hidden="1">Gun!$D$22</definedName>
    <definedName name="solver_lhs217" localSheetId="14" hidden="1">Gun!$D$22</definedName>
    <definedName name="solver_lhs218" localSheetId="14" hidden="1">Gun!$D$22</definedName>
    <definedName name="solver_lhs219" localSheetId="14" hidden="1">Gun!$D$22</definedName>
    <definedName name="solver_lhs22" localSheetId="14" hidden="1">Gun!$D$22</definedName>
    <definedName name="solver_lhs22" localSheetId="11" hidden="1">Nuke!$G$9</definedName>
    <definedName name="solver_lhs220" localSheetId="14" hidden="1">Gun!$D$22</definedName>
    <definedName name="solver_lhs221" localSheetId="14" hidden="1">Gun!$D$22</definedName>
    <definedName name="solver_lhs222" localSheetId="14" hidden="1">Gun!$D$22</definedName>
    <definedName name="solver_lhs223" localSheetId="14" hidden="1">Gun!$D$22</definedName>
    <definedName name="solver_lhs224" localSheetId="14" hidden="1">Gun!$D$22</definedName>
    <definedName name="solver_lhs225" localSheetId="14" hidden="1">Gun!$D$22</definedName>
    <definedName name="solver_lhs226" localSheetId="14" hidden="1">Gun!$D$22</definedName>
    <definedName name="solver_lhs227" localSheetId="14" hidden="1">Gun!$D$22</definedName>
    <definedName name="solver_lhs228" localSheetId="14" hidden="1">Gun!$D$22</definedName>
    <definedName name="solver_lhs229" localSheetId="14" hidden="1">Gun!$D$22</definedName>
    <definedName name="solver_lhs23" localSheetId="14" hidden="1">Gun!$D$22</definedName>
    <definedName name="solver_lhs23" localSheetId="11" hidden="1">Nuke!$G$9</definedName>
    <definedName name="solver_lhs230" localSheetId="14" hidden="1">Gun!$D$22</definedName>
    <definedName name="solver_lhs231" localSheetId="14" hidden="1">Gun!$D$22</definedName>
    <definedName name="solver_lhs232" localSheetId="14" hidden="1">Gun!$D$22</definedName>
    <definedName name="solver_lhs233" localSheetId="14" hidden="1">Gun!$D$22</definedName>
    <definedName name="solver_lhs234" localSheetId="14" hidden="1">Gun!$D$22</definedName>
    <definedName name="solver_lhs235" localSheetId="14" hidden="1">Gun!$D$22</definedName>
    <definedName name="solver_lhs236" localSheetId="14" hidden="1">Gun!$D$22</definedName>
    <definedName name="solver_lhs237" localSheetId="14" hidden="1">Gun!$D$22</definedName>
    <definedName name="solver_lhs238" localSheetId="14" hidden="1">Gun!$D$22</definedName>
    <definedName name="solver_lhs239" localSheetId="14" hidden="1">Gun!$D$22</definedName>
    <definedName name="solver_lhs24" localSheetId="14" hidden="1">Gun!$D$22</definedName>
    <definedName name="solver_lhs24" localSheetId="11" hidden="1">Nuke!$G$9</definedName>
    <definedName name="solver_lhs240" localSheetId="14" hidden="1">Gun!$D$22</definedName>
    <definedName name="solver_lhs241" localSheetId="14" hidden="1">Gun!$D$22</definedName>
    <definedName name="solver_lhs242" localSheetId="14" hidden="1">Gun!$D$22</definedName>
    <definedName name="solver_lhs243" localSheetId="14" hidden="1">Gun!$D$22</definedName>
    <definedName name="solver_lhs244" localSheetId="14" hidden="1">Gun!$D$22</definedName>
    <definedName name="solver_lhs245" localSheetId="14" hidden="1">Gun!$D$22</definedName>
    <definedName name="solver_lhs246" localSheetId="14" hidden="1">Gun!$D$22</definedName>
    <definedName name="solver_lhs247" localSheetId="14" hidden="1">Gun!$D$22</definedName>
    <definedName name="solver_lhs248" localSheetId="14" hidden="1">Gun!$D$22</definedName>
    <definedName name="solver_lhs249" localSheetId="14" hidden="1">Gun!$D$22</definedName>
    <definedName name="solver_lhs25" localSheetId="14" hidden="1">Gun!$D$22</definedName>
    <definedName name="solver_lhs25" localSheetId="11" hidden="1">Nuke!$G$9</definedName>
    <definedName name="solver_lhs250" localSheetId="14" hidden="1">Gun!$D$22</definedName>
    <definedName name="solver_lhs251" localSheetId="14" hidden="1">Gun!$D$22</definedName>
    <definedName name="solver_lhs252" localSheetId="14" hidden="1">Gun!$D$22</definedName>
    <definedName name="solver_lhs253" localSheetId="14" hidden="1">Gun!$D$22</definedName>
    <definedName name="solver_lhs254" localSheetId="14" hidden="1">Gun!$D$22</definedName>
    <definedName name="solver_lhs255" localSheetId="14" hidden="1">Gun!$D$22</definedName>
    <definedName name="solver_lhs256" localSheetId="14" hidden="1">Gun!$D$22</definedName>
    <definedName name="solver_lhs257" localSheetId="14" hidden="1">Gun!$D$22</definedName>
    <definedName name="solver_lhs258" localSheetId="14" hidden="1">Gun!$D$22</definedName>
    <definedName name="solver_lhs259" localSheetId="14" hidden="1">Gun!$D$22</definedName>
    <definedName name="solver_lhs26" localSheetId="14" hidden="1">Gun!$D$22</definedName>
    <definedName name="solver_lhs26" localSheetId="11" hidden="1">Nuke!$G$9</definedName>
    <definedName name="solver_lhs260" localSheetId="14" hidden="1">Gun!$D$22</definedName>
    <definedName name="solver_lhs261" localSheetId="14" hidden="1">Gun!$D$22</definedName>
    <definedName name="solver_lhs262" localSheetId="14" hidden="1">Gun!$D$22</definedName>
    <definedName name="solver_lhs263" localSheetId="14" hidden="1">Gun!$D$22</definedName>
    <definedName name="solver_lhs264" localSheetId="14" hidden="1">Gun!$D$22</definedName>
    <definedName name="solver_lhs265" localSheetId="14" hidden="1">Gun!$D$22</definedName>
    <definedName name="solver_lhs266" localSheetId="14" hidden="1">Gun!$D$22</definedName>
    <definedName name="solver_lhs267" localSheetId="14" hidden="1">Gun!$D$22</definedName>
    <definedName name="solver_lhs268" localSheetId="14" hidden="1">Gun!$D$22</definedName>
    <definedName name="solver_lhs269" localSheetId="14" hidden="1">Gun!$D$22</definedName>
    <definedName name="solver_lhs27" localSheetId="14" hidden="1">Gun!$D$22</definedName>
    <definedName name="solver_lhs27" localSheetId="11" hidden="1">Nuke!$G$9</definedName>
    <definedName name="solver_lhs270" localSheetId="14" hidden="1">Gun!$D$22</definedName>
    <definedName name="solver_lhs271" localSheetId="14" hidden="1">Gun!$D$22</definedName>
    <definedName name="solver_lhs272" localSheetId="14" hidden="1">Gun!$D$22</definedName>
    <definedName name="solver_lhs273" localSheetId="14" hidden="1">Gun!$D$22</definedName>
    <definedName name="solver_lhs274" localSheetId="14" hidden="1">Gun!$D$22</definedName>
    <definedName name="solver_lhs275" localSheetId="14" hidden="1">Gun!$D$22</definedName>
    <definedName name="solver_lhs276" localSheetId="14" hidden="1">Gun!$D$22</definedName>
    <definedName name="solver_lhs277" localSheetId="14" hidden="1">Gun!$D$22</definedName>
    <definedName name="solver_lhs278" localSheetId="14" hidden="1">Gun!$D$22</definedName>
    <definedName name="solver_lhs279" localSheetId="14" hidden="1">Gun!$D$22</definedName>
    <definedName name="solver_lhs28" localSheetId="14" hidden="1">Gun!$D$22</definedName>
    <definedName name="solver_lhs28" localSheetId="11" hidden="1">Nuke!$G$9</definedName>
    <definedName name="solver_lhs280" localSheetId="14" hidden="1">Gun!$D$22</definedName>
    <definedName name="solver_lhs281" localSheetId="14" hidden="1">Gun!$D$22</definedName>
    <definedName name="solver_lhs282" localSheetId="14" hidden="1">Gun!$D$22</definedName>
    <definedName name="solver_lhs283" localSheetId="14" hidden="1">Gun!$D$22</definedName>
    <definedName name="solver_lhs284" localSheetId="14" hidden="1">Gun!$D$22</definedName>
    <definedName name="solver_lhs285" localSheetId="14" hidden="1">Gun!$D$22</definedName>
    <definedName name="solver_lhs286" localSheetId="14" hidden="1">Gun!$D$22</definedName>
    <definedName name="solver_lhs287" localSheetId="14" hidden="1">Gun!$D$22</definedName>
    <definedName name="solver_lhs288" localSheetId="14" hidden="1">Gun!$D$22</definedName>
    <definedName name="solver_lhs289" localSheetId="14" hidden="1">Gun!$D$22</definedName>
    <definedName name="solver_lhs29" localSheetId="14" hidden="1">Gun!$D$22</definedName>
    <definedName name="solver_lhs29" localSheetId="11" hidden="1">Nuke!$G$9</definedName>
    <definedName name="solver_lhs290" localSheetId="14" hidden="1">Gun!$D$22</definedName>
    <definedName name="solver_lhs291" localSheetId="14" hidden="1">Gun!$D$22</definedName>
    <definedName name="solver_lhs292" localSheetId="14" hidden="1">Gun!$D$22</definedName>
    <definedName name="solver_lhs293" localSheetId="14" hidden="1">Gun!$D$22</definedName>
    <definedName name="solver_lhs294" localSheetId="14" hidden="1">Gun!$D$22</definedName>
    <definedName name="solver_lhs295" localSheetId="14" hidden="1">Gun!$D$22</definedName>
    <definedName name="solver_lhs296" localSheetId="14" hidden="1">Gun!$D$22</definedName>
    <definedName name="solver_lhs297" localSheetId="14" hidden="1">Gun!$D$22</definedName>
    <definedName name="solver_lhs298" localSheetId="14" hidden="1">Gun!$D$22</definedName>
    <definedName name="solver_lhs299" localSheetId="14" hidden="1">Gun!$D$22</definedName>
    <definedName name="solver_lhs3" localSheetId="20" hidden="1">'CW Laser'!$P$23</definedName>
    <definedName name="solver_lhs3" localSheetId="14" hidden="1">Gun!$D$22</definedName>
    <definedName name="solver_lhs3" localSheetId="11" hidden="1">Nuke!$G$9</definedName>
    <definedName name="solver_lhs30" localSheetId="14" hidden="1">Gun!$D$22</definedName>
    <definedName name="solver_lhs30" localSheetId="11" hidden="1">Nuke!$G$9</definedName>
    <definedName name="solver_lhs300" localSheetId="14" hidden="1">Gun!$D$22</definedName>
    <definedName name="solver_lhs301" localSheetId="14" hidden="1">Gun!$D$22</definedName>
    <definedName name="solver_lhs302" localSheetId="14" hidden="1">Gun!$D$22</definedName>
    <definedName name="solver_lhs303" localSheetId="14" hidden="1">Gun!$D$22</definedName>
    <definedName name="solver_lhs304" localSheetId="14" hidden="1">Gun!$D$22</definedName>
    <definedName name="solver_lhs305" localSheetId="14" hidden="1">Gun!$D$22</definedName>
    <definedName name="solver_lhs306" localSheetId="14" hidden="1">Gun!$D$22</definedName>
    <definedName name="solver_lhs307" localSheetId="14" hidden="1">Gun!$D$22</definedName>
    <definedName name="solver_lhs308" localSheetId="14" hidden="1">Gun!$D$22</definedName>
    <definedName name="solver_lhs309" localSheetId="14" hidden="1">Gun!$D$22</definedName>
    <definedName name="solver_lhs31" localSheetId="14" hidden="1">Gun!$D$22</definedName>
    <definedName name="solver_lhs31" localSheetId="11" hidden="1">Nuke!$G$9</definedName>
    <definedName name="solver_lhs310" localSheetId="14" hidden="1">Gun!$D$22</definedName>
    <definedName name="solver_lhs311" localSheetId="14" hidden="1">Gun!$D$22</definedName>
    <definedName name="solver_lhs312" localSheetId="14" hidden="1">Gun!$D$22</definedName>
    <definedName name="solver_lhs313" localSheetId="14" hidden="1">Gun!$D$22</definedName>
    <definedName name="solver_lhs314" localSheetId="14" hidden="1">Gun!$D$22</definedName>
    <definedName name="solver_lhs315" localSheetId="14" hidden="1">Gun!$D$22</definedName>
    <definedName name="solver_lhs316" localSheetId="14" hidden="1">Gun!$D$22</definedName>
    <definedName name="solver_lhs317" localSheetId="14" hidden="1">Gun!$D$22</definedName>
    <definedName name="solver_lhs318" localSheetId="14" hidden="1">Gun!$D$22</definedName>
    <definedName name="solver_lhs319" localSheetId="14" hidden="1">Gun!$D$22</definedName>
    <definedName name="solver_lhs32" localSheetId="14" hidden="1">Gun!$D$22</definedName>
    <definedName name="solver_lhs32" localSheetId="11" hidden="1">Nuke!$G$9</definedName>
    <definedName name="solver_lhs320" localSheetId="14" hidden="1">Gun!$D$22</definedName>
    <definedName name="solver_lhs321" localSheetId="14" hidden="1">Gun!$D$22</definedName>
    <definedName name="solver_lhs322" localSheetId="14" hidden="1">Gun!$D$22</definedName>
    <definedName name="solver_lhs323" localSheetId="14" hidden="1">Gun!$D$22</definedName>
    <definedName name="solver_lhs324" localSheetId="14" hidden="1">Gun!$D$22</definedName>
    <definedName name="solver_lhs325" localSheetId="14" hidden="1">Gun!$D$22</definedName>
    <definedName name="solver_lhs326" localSheetId="14" hidden="1">Gun!$D$22</definedName>
    <definedName name="solver_lhs327" localSheetId="14" hidden="1">Gun!$D$22</definedName>
    <definedName name="solver_lhs328" localSheetId="14" hidden="1">Gun!$D$22</definedName>
    <definedName name="solver_lhs329" localSheetId="14" hidden="1">Gun!$D$22</definedName>
    <definedName name="solver_lhs33" localSheetId="14" hidden="1">Gun!$D$22</definedName>
    <definedName name="solver_lhs33" localSheetId="11" hidden="1">Nuke!$G$9</definedName>
    <definedName name="solver_lhs330" localSheetId="14" hidden="1">Gun!$D$22</definedName>
    <definedName name="solver_lhs331" localSheetId="14" hidden="1">Gun!$D$22</definedName>
    <definedName name="solver_lhs332" localSheetId="14" hidden="1">Gun!$D$22</definedName>
    <definedName name="solver_lhs333" localSheetId="14" hidden="1">Gun!$D$22</definedName>
    <definedName name="solver_lhs334" localSheetId="14" hidden="1">Gun!$D$22</definedName>
    <definedName name="solver_lhs335" localSheetId="14" hidden="1">Gun!$D$22</definedName>
    <definedName name="solver_lhs336" localSheetId="14" hidden="1">Gun!$D$22</definedName>
    <definedName name="solver_lhs337" localSheetId="14" hidden="1">Gun!$D$22</definedName>
    <definedName name="solver_lhs338" localSheetId="14" hidden="1">Gun!$D$22</definedName>
    <definedName name="solver_lhs339" localSheetId="14" hidden="1">Gun!$D$22</definedName>
    <definedName name="solver_lhs34" localSheetId="14" hidden="1">Gun!$D$22</definedName>
    <definedName name="solver_lhs34" localSheetId="11" hidden="1">Nuke!$G$9</definedName>
    <definedName name="solver_lhs340" localSheetId="14" hidden="1">Gun!$D$22</definedName>
    <definedName name="solver_lhs341" localSheetId="14" hidden="1">Gun!$D$22</definedName>
    <definedName name="solver_lhs342" localSheetId="14" hidden="1">Gun!$D$22</definedName>
    <definedName name="solver_lhs343" localSheetId="14" hidden="1">Gun!$D$22</definedName>
    <definedName name="solver_lhs344" localSheetId="14" hidden="1">Gun!$D$22</definedName>
    <definedName name="solver_lhs345" localSheetId="14" hidden="1">Gun!$D$22</definedName>
    <definedName name="solver_lhs346" localSheetId="14" hidden="1">Gun!$D$22</definedName>
    <definedName name="solver_lhs347" localSheetId="14" hidden="1">Gun!$D$22</definedName>
    <definedName name="solver_lhs348" localSheetId="14" hidden="1">Gun!$D$22</definedName>
    <definedName name="solver_lhs349" localSheetId="14" hidden="1">Gun!$D$22</definedName>
    <definedName name="solver_lhs35" localSheetId="14" hidden="1">Gun!$D$22</definedName>
    <definedName name="solver_lhs35" localSheetId="11" hidden="1">Nuke!$G$9</definedName>
    <definedName name="solver_lhs350" localSheetId="14" hidden="1">Gun!$D$22</definedName>
    <definedName name="solver_lhs351" localSheetId="14" hidden="1">Gun!$D$22</definedName>
    <definedName name="solver_lhs352" localSheetId="14" hidden="1">Gun!$D$22</definedName>
    <definedName name="solver_lhs353" localSheetId="14" hidden="1">Gun!$D$22</definedName>
    <definedName name="solver_lhs354" localSheetId="14" hidden="1">Gun!$D$22</definedName>
    <definedName name="solver_lhs355" localSheetId="14" hidden="1">Gun!$D$22</definedName>
    <definedName name="solver_lhs356" localSheetId="14" hidden="1">Gun!$D$22</definedName>
    <definedName name="solver_lhs357" localSheetId="14" hidden="1">Gun!$D$22</definedName>
    <definedName name="solver_lhs358" localSheetId="14" hidden="1">Gun!$D$22</definedName>
    <definedName name="solver_lhs359" localSheetId="14" hidden="1">Gun!$D$22</definedName>
    <definedName name="solver_lhs36" localSheetId="14" hidden="1">Gun!$D$22</definedName>
    <definedName name="solver_lhs36" localSheetId="11" hidden="1">Nuke!$G$9</definedName>
    <definedName name="solver_lhs360" localSheetId="14" hidden="1">Gun!$D$22</definedName>
    <definedName name="solver_lhs361" localSheetId="14" hidden="1">Gun!$D$22</definedName>
    <definedName name="solver_lhs362" localSheetId="14" hidden="1">Gun!$D$22</definedName>
    <definedName name="solver_lhs37" localSheetId="14" hidden="1">Gun!$D$22</definedName>
    <definedName name="solver_lhs37" localSheetId="11" hidden="1">Nuke!$G$9</definedName>
    <definedName name="solver_lhs38" localSheetId="14" hidden="1">Gun!$D$22</definedName>
    <definedName name="solver_lhs38" localSheetId="11" hidden="1">Nuke!$G$9</definedName>
    <definedName name="solver_lhs39" localSheetId="14" hidden="1">Gun!$D$22</definedName>
    <definedName name="solver_lhs39" localSheetId="11" hidden="1">Nuke!$G$9</definedName>
    <definedName name="solver_lhs4" localSheetId="14" hidden="1">Gun!$D$22</definedName>
    <definedName name="solver_lhs4" localSheetId="11" hidden="1">Nuke!$G$9</definedName>
    <definedName name="solver_lhs40" localSheetId="14" hidden="1">Gun!$D$22</definedName>
    <definedName name="solver_lhs40" localSheetId="11" hidden="1">Nuke!$G$9</definedName>
    <definedName name="solver_lhs41" localSheetId="14" hidden="1">Gun!$D$22</definedName>
    <definedName name="solver_lhs41" localSheetId="11" hidden="1">Nuke!$G$9</definedName>
    <definedName name="solver_lhs42" localSheetId="14" hidden="1">Gun!$D$22</definedName>
    <definedName name="solver_lhs42" localSheetId="11" hidden="1">Nuke!$G$9</definedName>
    <definedName name="solver_lhs43" localSheetId="14" hidden="1">Gun!$D$22</definedName>
    <definedName name="solver_lhs43" localSheetId="11" hidden="1">Nuke!$G$9</definedName>
    <definedName name="solver_lhs44" localSheetId="14" hidden="1">Gun!$D$22</definedName>
    <definedName name="solver_lhs44" localSheetId="11" hidden="1">Nuke!$G$9</definedName>
    <definedName name="solver_lhs45" localSheetId="14" hidden="1">Gun!$D$22</definedName>
    <definedName name="solver_lhs45" localSheetId="11" hidden="1">Nuke!$G$9</definedName>
    <definedName name="solver_lhs46" localSheetId="14" hidden="1">Gun!$D$22</definedName>
    <definedName name="solver_lhs46" localSheetId="11" hidden="1">Nuke!$G$9</definedName>
    <definedName name="solver_lhs47" localSheetId="14" hidden="1">Gun!$D$22</definedName>
    <definedName name="solver_lhs47" localSheetId="11" hidden="1">Nuke!$G$9</definedName>
    <definedName name="solver_lhs48" localSheetId="14" hidden="1">Gun!$D$22</definedName>
    <definedName name="solver_lhs48" localSheetId="11" hidden="1">Nuke!$G$9</definedName>
    <definedName name="solver_lhs49" localSheetId="14" hidden="1">Gun!$D$22</definedName>
    <definedName name="solver_lhs49" localSheetId="11" hidden="1">Nuke!$G$9</definedName>
    <definedName name="solver_lhs5" localSheetId="14" hidden="1">Gun!$D$22</definedName>
    <definedName name="solver_lhs5" localSheetId="11" hidden="1">Nuke!$G$9</definedName>
    <definedName name="solver_lhs50" localSheetId="14" hidden="1">Gun!$D$22</definedName>
    <definedName name="solver_lhs50" localSheetId="11" hidden="1">Nuke!$G$9</definedName>
    <definedName name="solver_lhs51" localSheetId="14" hidden="1">Gun!$D$22</definedName>
    <definedName name="solver_lhs51" localSheetId="11" hidden="1">Nuke!$G$9</definedName>
    <definedName name="solver_lhs52" localSheetId="14" hidden="1">Gun!$D$22</definedName>
    <definedName name="solver_lhs52" localSheetId="11" hidden="1">Nuke!$G$9</definedName>
    <definedName name="solver_lhs53" localSheetId="14" hidden="1">Gun!$D$22</definedName>
    <definedName name="solver_lhs53" localSheetId="11" hidden="1">Nuke!$G$9</definedName>
    <definedName name="solver_lhs54" localSheetId="14" hidden="1">Gun!$D$22</definedName>
    <definedName name="solver_lhs54" localSheetId="11" hidden="1">Nuke!$G$9</definedName>
    <definedName name="solver_lhs55" localSheetId="14" hidden="1">Gun!$D$22</definedName>
    <definedName name="solver_lhs55" localSheetId="11" hidden="1">Nuke!$G$9</definedName>
    <definedName name="solver_lhs56" localSheetId="14" hidden="1">Gun!$D$22</definedName>
    <definedName name="solver_lhs56" localSheetId="11" hidden="1">Nuke!$G$9</definedName>
    <definedName name="solver_lhs57" localSheetId="14" hidden="1">Gun!$D$22</definedName>
    <definedName name="solver_lhs57" localSheetId="11" hidden="1">Nuke!$G$9</definedName>
    <definedName name="solver_lhs58" localSheetId="14" hidden="1">Gun!$D$22</definedName>
    <definedName name="solver_lhs58" localSheetId="11" hidden="1">Nuke!$G$9</definedName>
    <definedName name="solver_lhs59" localSheetId="14" hidden="1">Gun!$D$22</definedName>
    <definedName name="solver_lhs59" localSheetId="11" hidden="1">Nuke!$G$9</definedName>
    <definedName name="solver_lhs6" localSheetId="14" hidden="1">Gun!$D$22</definedName>
    <definedName name="solver_lhs6" localSheetId="11" hidden="1">Nuke!$G$9</definedName>
    <definedName name="solver_lhs60" localSheetId="14" hidden="1">Gun!$D$22</definedName>
    <definedName name="solver_lhs60" localSheetId="11" hidden="1">Nuke!$G$9</definedName>
    <definedName name="solver_lhs61" localSheetId="14" hidden="1">Gun!$D$22</definedName>
    <definedName name="solver_lhs61" localSheetId="11" hidden="1">Nuke!$G$9</definedName>
    <definedName name="solver_lhs62" localSheetId="14" hidden="1">Gun!$D$22</definedName>
    <definedName name="solver_lhs62" localSheetId="11" hidden="1">Nuke!$G$9</definedName>
    <definedName name="solver_lhs63" localSheetId="14" hidden="1">Gun!$D$22</definedName>
    <definedName name="solver_lhs63" localSheetId="11" hidden="1">Nuke!$G$9</definedName>
    <definedName name="solver_lhs64" localSheetId="14" hidden="1">Gun!$D$22</definedName>
    <definedName name="solver_lhs64" localSheetId="11" hidden="1">Nuke!$G$9</definedName>
    <definedName name="solver_lhs65" localSheetId="14" hidden="1">Gun!$D$22</definedName>
    <definedName name="solver_lhs65" localSheetId="11" hidden="1">Nuke!$G$9</definedName>
    <definedName name="solver_lhs66" localSheetId="14" hidden="1">Gun!$D$22</definedName>
    <definedName name="solver_lhs66" localSheetId="11" hidden="1">Nuke!$G$9</definedName>
    <definedName name="solver_lhs67" localSheetId="14" hidden="1">Gun!$D$22</definedName>
    <definedName name="solver_lhs67" localSheetId="11" hidden="1">Nuke!$G$9</definedName>
    <definedName name="solver_lhs68" localSheetId="14" hidden="1">Gun!$D$22</definedName>
    <definedName name="solver_lhs68" localSheetId="11" hidden="1">Nuke!$G$9</definedName>
    <definedName name="solver_lhs69" localSheetId="14" hidden="1">Gun!$D$22</definedName>
    <definedName name="solver_lhs69" localSheetId="11" hidden="1">Nuke!$G$9</definedName>
    <definedName name="solver_lhs7" localSheetId="14" hidden="1">Gun!$D$22</definedName>
    <definedName name="solver_lhs7" localSheetId="11" hidden="1">Nuke!$G$9</definedName>
    <definedName name="solver_lhs70" localSheetId="14" hidden="1">Gun!$D$22</definedName>
    <definedName name="solver_lhs70" localSheetId="11" hidden="1">Nuke!$G$9</definedName>
    <definedName name="solver_lhs71" localSheetId="14" hidden="1">Gun!$D$22</definedName>
    <definedName name="solver_lhs71" localSheetId="11" hidden="1">Nuke!$G$9</definedName>
    <definedName name="solver_lhs72" localSheetId="14" hidden="1">Gun!$D$22</definedName>
    <definedName name="solver_lhs72" localSheetId="11" hidden="1">Nuke!$G$9</definedName>
    <definedName name="solver_lhs73" localSheetId="14" hidden="1">Gun!$D$22</definedName>
    <definedName name="solver_lhs73" localSheetId="11" hidden="1">Nuke!$G$9</definedName>
    <definedName name="solver_lhs74" localSheetId="14" hidden="1">Gun!$D$22</definedName>
    <definedName name="solver_lhs74" localSheetId="11" hidden="1">Nuke!$G$9</definedName>
    <definedName name="solver_lhs75" localSheetId="14" hidden="1">Gun!$D$22</definedName>
    <definedName name="solver_lhs75" localSheetId="11" hidden="1">Nuke!$G$9</definedName>
    <definedName name="solver_lhs76" localSheetId="14" hidden="1">Gun!$D$22</definedName>
    <definedName name="solver_lhs76" localSheetId="11" hidden="1">Nuke!$G$9</definedName>
    <definedName name="solver_lhs77" localSheetId="14" hidden="1">Gun!$D$22</definedName>
    <definedName name="solver_lhs77" localSheetId="11" hidden="1">Nuke!$G$9</definedName>
    <definedName name="solver_lhs78" localSheetId="14" hidden="1">Gun!$D$22</definedName>
    <definedName name="solver_lhs78" localSheetId="11" hidden="1">Nuke!$G$9</definedName>
    <definedName name="solver_lhs79" localSheetId="14" hidden="1">Gun!$D$22</definedName>
    <definedName name="solver_lhs79" localSheetId="11" hidden="1">Nuke!$G$9</definedName>
    <definedName name="solver_lhs8" localSheetId="14" hidden="1">Gun!$D$22</definedName>
    <definedName name="solver_lhs8" localSheetId="11" hidden="1">Nuke!$G$9</definedName>
    <definedName name="solver_lhs80" localSheetId="14" hidden="1">Gun!$D$22</definedName>
    <definedName name="solver_lhs80" localSheetId="11" hidden="1">Nuke!$G$9</definedName>
    <definedName name="solver_lhs81" localSheetId="14" hidden="1">Gun!$D$22</definedName>
    <definedName name="solver_lhs81" localSheetId="11" hidden="1">Nuke!$G$9</definedName>
    <definedName name="solver_lhs82" localSheetId="14" hidden="1">Gun!$D$22</definedName>
    <definedName name="solver_lhs82" localSheetId="11" hidden="1">Nuke!$G$9</definedName>
    <definedName name="solver_lhs83" localSheetId="14" hidden="1">Gun!$D$22</definedName>
    <definedName name="solver_lhs83" localSheetId="11" hidden="1">Nuke!$G$9</definedName>
    <definedName name="solver_lhs84" localSheetId="14" hidden="1">Gun!$D$22</definedName>
    <definedName name="solver_lhs84" localSheetId="11" hidden="1">Nuke!$G$9</definedName>
    <definedName name="solver_lhs85" localSheetId="14" hidden="1">Gun!$D$22</definedName>
    <definedName name="solver_lhs85" localSheetId="11" hidden="1">Nuke!$G$9</definedName>
    <definedName name="solver_lhs86" localSheetId="14" hidden="1">Gun!$D$22</definedName>
    <definedName name="solver_lhs86" localSheetId="11" hidden="1">Nuke!$G$9</definedName>
    <definedName name="solver_lhs87" localSheetId="14" hidden="1">Gun!$D$22</definedName>
    <definedName name="solver_lhs87" localSheetId="11" hidden="1">Nuke!$G$9</definedName>
    <definedName name="solver_lhs88" localSheetId="14" hidden="1">Gun!$D$22</definedName>
    <definedName name="solver_lhs88" localSheetId="11" hidden="1">Nuke!$G$9</definedName>
    <definedName name="solver_lhs89" localSheetId="14" hidden="1">Gun!$D$22</definedName>
    <definedName name="solver_lhs89" localSheetId="11" hidden="1">Nuke!$G$9</definedName>
    <definedName name="solver_lhs9" localSheetId="14" hidden="1">Gun!$D$22</definedName>
    <definedName name="solver_lhs9" localSheetId="11" hidden="1">Nuke!$G$9</definedName>
    <definedName name="solver_lhs90" localSheetId="14" hidden="1">Gun!$D$22</definedName>
    <definedName name="solver_lhs90" localSheetId="11" hidden="1">Nuke!$G$9</definedName>
    <definedName name="solver_lhs91" localSheetId="14" hidden="1">Gun!$D$22</definedName>
    <definedName name="solver_lhs91" localSheetId="11" hidden="1">Nuke!$G$9</definedName>
    <definedName name="solver_lhs92" localSheetId="14" hidden="1">Gun!$D$22</definedName>
    <definedName name="solver_lhs92" localSheetId="11" hidden="1">Nuke!$G$9</definedName>
    <definedName name="solver_lhs93" localSheetId="14" hidden="1">Gun!$D$22</definedName>
    <definedName name="solver_lhs93" localSheetId="11" hidden="1">Nuke!$G$9</definedName>
    <definedName name="solver_lhs94" localSheetId="14" hidden="1">Gun!$D$22</definedName>
    <definedName name="solver_lhs94" localSheetId="11" hidden="1">Nuke!$G$9</definedName>
    <definedName name="solver_lhs95" localSheetId="14" hidden="1">Gun!$D$22</definedName>
    <definedName name="solver_lhs95" localSheetId="11" hidden="1">Nuke!$G$9</definedName>
    <definedName name="solver_lhs96" localSheetId="14" hidden="1">Gun!$D$22</definedName>
    <definedName name="solver_lhs96" localSheetId="11" hidden="1">Nuke!$G$9</definedName>
    <definedName name="solver_lhs97" localSheetId="14" hidden="1">Gun!$D$22</definedName>
    <definedName name="solver_lhs97" localSheetId="11" hidden="1">Nuke!$G$9</definedName>
    <definedName name="solver_lhs98" localSheetId="14" hidden="1">Gun!$D$22</definedName>
    <definedName name="solver_lhs98" localSheetId="11" hidden="1">Nuke!$G$9</definedName>
    <definedName name="solver_lhs99" localSheetId="14" hidden="1">Gun!$D$22</definedName>
    <definedName name="solver_lhs99" localSheetId="11" hidden="1">Nuke!$G$9</definedName>
    <definedName name="solver_mip" localSheetId="20" hidden="1">2147483647</definedName>
    <definedName name="solver_mip" localSheetId="14" hidden="1">2147483647</definedName>
    <definedName name="solver_mip" localSheetId="11" hidden="1">2147483647</definedName>
    <definedName name="solver_mip" localSheetId="9" hidden="1">2147483647</definedName>
    <definedName name="solver_mni" localSheetId="20" hidden="1">30</definedName>
    <definedName name="solver_mni" localSheetId="14" hidden="1">30</definedName>
    <definedName name="solver_mni" localSheetId="11" hidden="1">30</definedName>
    <definedName name="solver_mni" localSheetId="9" hidden="1">30</definedName>
    <definedName name="solver_mrt" localSheetId="20" hidden="1">0.075</definedName>
    <definedName name="solver_mrt" localSheetId="14" hidden="1">0.075</definedName>
    <definedName name="solver_mrt" localSheetId="11" hidden="1">0.075</definedName>
    <definedName name="solver_mrt" localSheetId="9" hidden="1">0.075</definedName>
    <definedName name="solver_msl" localSheetId="20" hidden="1">2</definedName>
    <definedName name="solver_msl" localSheetId="14" hidden="1">2</definedName>
    <definedName name="solver_msl" localSheetId="11" hidden="1">2</definedName>
    <definedName name="solver_msl" localSheetId="9" hidden="1">2</definedName>
    <definedName name="solver_neg" localSheetId="20" hidden="1">1</definedName>
    <definedName name="solver_neg" localSheetId="14" hidden="1">1</definedName>
    <definedName name="solver_neg" localSheetId="11" hidden="1">1</definedName>
    <definedName name="solver_neg" localSheetId="9" hidden="1">1</definedName>
    <definedName name="solver_nod" localSheetId="20" hidden="1">2147483647</definedName>
    <definedName name="solver_nod" localSheetId="14" hidden="1">2147483647</definedName>
    <definedName name="solver_nod" localSheetId="11" hidden="1">2147483647</definedName>
    <definedName name="solver_nod" localSheetId="9" hidden="1">2147483647</definedName>
    <definedName name="solver_num" localSheetId="20" hidden="1">0</definedName>
    <definedName name="solver_num" localSheetId="14" hidden="1">2</definedName>
    <definedName name="solver_num" localSheetId="11" hidden="1">1</definedName>
    <definedName name="solver_num" localSheetId="9" hidden="1">0</definedName>
    <definedName name="solver_nwt" localSheetId="20" hidden="1">1</definedName>
    <definedName name="solver_nwt" localSheetId="14" hidden="1">1</definedName>
    <definedName name="solver_nwt" localSheetId="11" hidden="1">1</definedName>
    <definedName name="solver_nwt" localSheetId="9" hidden="1">1</definedName>
    <definedName name="solver_opt" localSheetId="20" hidden="1">'CW Laser'!$P$40</definedName>
    <definedName name="solver_opt" localSheetId="14" hidden="1">Gun!$D$43</definedName>
    <definedName name="solver_opt" localSheetId="11" hidden="1">Nuke!$I$48</definedName>
    <definedName name="solver_opt" localSheetId="9" hidden="1">Orion!$R$22</definedName>
    <definedName name="solver_pre" localSheetId="20" hidden="1">0.000001</definedName>
    <definedName name="solver_pre" localSheetId="14" hidden="1">0.000001</definedName>
    <definedName name="solver_pre" localSheetId="11" hidden="1">0.000001</definedName>
    <definedName name="solver_pre" localSheetId="9" hidden="1">0.000001</definedName>
    <definedName name="solver_rbv" localSheetId="20" hidden="1">2</definedName>
    <definedName name="solver_rbv" localSheetId="14" hidden="1">2</definedName>
    <definedName name="solver_rbv" localSheetId="11" hidden="1">1</definedName>
    <definedName name="solver_rbv" localSheetId="9" hidden="1">1</definedName>
    <definedName name="solver_rel1" localSheetId="20" hidden="1">3</definedName>
    <definedName name="solver_rel1" localSheetId="14" hidden="1">1</definedName>
    <definedName name="solver_rel1" localSheetId="11" hidden="1">3</definedName>
    <definedName name="solver_rel10" localSheetId="14" hidden="1">3</definedName>
    <definedName name="solver_rel10" localSheetId="11" hidden="1">3</definedName>
    <definedName name="solver_rel100" localSheetId="14" hidden="1">3</definedName>
    <definedName name="solver_rel100" localSheetId="11" hidden="1">3</definedName>
    <definedName name="solver_rel101" localSheetId="14" hidden="1">1</definedName>
    <definedName name="solver_rel101" localSheetId="11" hidden="1">1</definedName>
    <definedName name="solver_rel102" localSheetId="14" hidden="1">3</definedName>
    <definedName name="solver_rel102" localSheetId="11" hidden="1">3</definedName>
    <definedName name="solver_rel103" localSheetId="14" hidden="1">1</definedName>
    <definedName name="solver_rel103" localSheetId="11" hidden="1">1</definedName>
    <definedName name="solver_rel104" localSheetId="14" hidden="1">3</definedName>
    <definedName name="solver_rel104" localSheetId="11" hidden="1">3</definedName>
    <definedName name="solver_rel105" localSheetId="14" hidden="1">1</definedName>
    <definedName name="solver_rel105" localSheetId="11" hidden="1">1</definedName>
    <definedName name="solver_rel106" localSheetId="14" hidden="1">3</definedName>
    <definedName name="solver_rel106" localSheetId="11" hidden="1">3</definedName>
    <definedName name="solver_rel107" localSheetId="14" hidden="1">1</definedName>
    <definedName name="solver_rel107" localSheetId="11" hidden="1">1</definedName>
    <definedName name="solver_rel108" localSheetId="14" hidden="1">3</definedName>
    <definedName name="solver_rel108" localSheetId="11" hidden="1">3</definedName>
    <definedName name="solver_rel109" localSheetId="14" hidden="1">1</definedName>
    <definedName name="solver_rel109" localSheetId="11" hidden="1">1</definedName>
    <definedName name="solver_rel11" localSheetId="14" hidden="1">1</definedName>
    <definedName name="solver_rel11" localSheetId="11" hidden="1">1</definedName>
    <definedName name="solver_rel110" localSheetId="14" hidden="1">3</definedName>
    <definedName name="solver_rel110" localSheetId="11" hidden="1">3</definedName>
    <definedName name="solver_rel111" localSheetId="14" hidden="1">1</definedName>
    <definedName name="solver_rel111" localSheetId="11" hidden="1">1</definedName>
    <definedName name="solver_rel112" localSheetId="14" hidden="1">3</definedName>
    <definedName name="solver_rel112" localSheetId="11" hidden="1">3</definedName>
    <definedName name="solver_rel113" localSheetId="14" hidden="1">1</definedName>
    <definedName name="solver_rel113" localSheetId="11" hidden="1">1</definedName>
    <definedName name="solver_rel114" localSheetId="14" hidden="1">3</definedName>
    <definedName name="solver_rel114" localSheetId="11" hidden="1">3</definedName>
    <definedName name="solver_rel115" localSheetId="14" hidden="1">1</definedName>
    <definedName name="solver_rel115" localSheetId="11" hidden="1">1</definedName>
    <definedName name="solver_rel116" localSheetId="14" hidden="1">3</definedName>
    <definedName name="solver_rel116" localSheetId="11" hidden="1">3</definedName>
    <definedName name="solver_rel117" localSheetId="14" hidden="1">1</definedName>
    <definedName name="solver_rel118" localSheetId="14" hidden="1">3</definedName>
    <definedName name="solver_rel119" localSheetId="14" hidden="1">1</definedName>
    <definedName name="solver_rel12" localSheetId="14" hidden="1">3</definedName>
    <definedName name="solver_rel12" localSheetId="11" hidden="1">3</definedName>
    <definedName name="solver_rel120" localSheetId="14" hidden="1">3</definedName>
    <definedName name="solver_rel121" localSheetId="14" hidden="1">1</definedName>
    <definedName name="solver_rel122" localSheetId="14" hidden="1">3</definedName>
    <definedName name="solver_rel123" localSheetId="14" hidden="1">1</definedName>
    <definedName name="solver_rel124" localSheetId="14" hidden="1">3</definedName>
    <definedName name="solver_rel125" localSheetId="14" hidden="1">1</definedName>
    <definedName name="solver_rel126" localSheetId="14" hidden="1">3</definedName>
    <definedName name="solver_rel127" localSheetId="14" hidden="1">1</definedName>
    <definedName name="solver_rel128" localSheetId="14" hidden="1">3</definedName>
    <definedName name="solver_rel129" localSheetId="14" hidden="1">1</definedName>
    <definedName name="solver_rel13" localSheetId="14" hidden="1">1</definedName>
    <definedName name="solver_rel13" localSheetId="11" hidden="1">1</definedName>
    <definedName name="solver_rel130" localSheetId="14" hidden="1">3</definedName>
    <definedName name="solver_rel131" localSheetId="14" hidden="1">1</definedName>
    <definedName name="solver_rel132" localSheetId="14" hidden="1">3</definedName>
    <definedName name="solver_rel133" localSheetId="14" hidden="1">1</definedName>
    <definedName name="solver_rel134" localSheetId="14" hidden="1">3</definedName>
    <definedName name="solver_rel135" localSheetId="14" hidden="1">1</definedName>
    <definedName name="solver_rel136" localSheetId="14" hidden="1">3</definedName>
    <definedName name="solver_rel137" localSheetId="14" hidden="1">1</definedName>
    <definedName name="solver_rel138" localSheetId="14" hidden="1">3</definedName>
    <definedName name="solver_rel139" localSheetId="14" hidden="1">1</definedName>
    <definedName name="solver_rel14" localSheetId="14" hidden="1">3</definedName>
    <definedName name="solver_rel14" localSheetId="11" hidden="1">3</definedName>
    <definedName name="solver_rel140" localSheetId="14" hidden="1">3</definedName>
    <definedName name="solver_rel141" localSheetId="14" hidden="1">1</definedName>
    <definedName name="solver_rel142" localSheetId="14" hidden="1">3</definedName>
    <definedName name="solver_rel143" localSheetId="14" hidden="1">1</definedName>
    <definedName name="solver_rel144" localSheetId="14" hidden="1">3</definedName>
    <definedName name="solver_rel145" localSheetId="14" hidden="1">1</definedName>
    <definedName name="solver_rel146" localSheetId="14" hidden="1">3</definedName>
    <definedName name="solver_rel147" localSheetId="14" hidden="1">1</definedName>
    <definedName name="solver_rel148" localSheetId="14" hidden="1">3</definedName>
    <definedName name="solver_rel149" localSheetId="14" hidden="1">1</definedName>
    <definedName name="solver_rel15" localSheetId="14" hidden="1">1</definedName>
    <definedName name="solver_rel15" localSheetId="11" hidden="1">1</definedName>
    <definedName name="solver_rel150" localSheetId="14" hidden="1">3</definedName>
    <definedName name="solver_rel151" localSheetId="14" hidden="1">1</definedName>
    <definedName name="solver_rel152" localSheetId="14" hidden="1">3</definedName>
    <definedName name="solver_rel153" localSheetId="14" hidden="1">1</definedName>
    <definedName name="solver_rel154" localSheetId="14" hidden="1">3</definedName>
    <definedName name="solver_rel155" localSheetId="14" hidden="1">1</definedName>
    <definedName name="solver_rel156" localSheetId="14" hidden="1">3</definedName>
    <definedName name="solver_rel157" localSheetId="14" hidden="1">1</definedName>
    <definedName name="solver_rel158" localSheetId="14" hidden="1">3</definedName>
    <definedName name="solver_rel159" localSheetId="14" hidden="1">1</definedName>
    <definedName name="solver_rel16" localSheetId="14" hidden="1">3</definedName>
    <definedName name="solver_rel16" localSheetId="11" hidden="1">3</definedName>
    <definedName name="solver_rel160" localSheetId="14" hidden="1">3</definedName>
    <definedName name="solver_rel161" localSheetId="14" hidden="1">1</definedName>
    <definedName name="solver_rel162" localSheetId="14" hidden="1">3</definedName>
    <definedName name="solver_rel163" localSheetId="14" hidden="1">1</definedName>
    <definedName name="solver_rel164" localSheetId="14" hidden="1">3</definedName>
    <definedName name="solver_rel165" localSheetId="14" hidden="1">1</definedName>
    <definedName name="solver_rel166" localSheetId="14" hidden="1">3</definedName>
    <definedName name="solver_rel167" localSheetId="14" hidden="1">1</definedName>
    <definedName name="solver_rel168" localSheetId="14" hidden="1">3</definedName>
    <definedName name="solver_rel169" localSheetId="14" hidden="1">1</definedName>
    <definedName name="solver_rel17" localSheetId="14" hidden="1">1</definedName>
    <definedName name="solver_rel17" localSheetId="11" hidden="1">1</definedName>
    <definedName name="solver_rel170" localSheetId="14" hidden="1">3</definedName>
    <definedName name="solver_rel171" localSheetId="14" hidden="1">1</definedName>
    <definedName name="solver_rel172" localSheetId="14" hidden="1">3</definedName>
    <definedName name="solver_rel173" localSheetId="14" hidden="1">1</definedName>
    <definedName name="solver_rel174" localSheetId="14" hidden="1">3</definedName>
    <definedName name="solver_rel175" localSheetId="14" hidden="1">1</definedName>
    <definedName name="solver_rel176" localSheetId="14" hidden="1">3</definedName>
    <definedName name="solver_rel177" localSheetId="14" hidden="1">1</definedName>
    <definedName name="solver_rel178" localSheetId="14" hidden="1">3</definedName>
    <definedName name="solver_rel179" localSheetId="14" hidden="1">1</definedName>
    <definedName name="solver_rel18" localSheetId="14" hidden="1">3</definedName>
    <definedName name="solver_rel18" localSheetId="11" hidden="1">3</definedName>
    <definedName name="solver_rel180" localSheetId="14" hidden="1">3</definedName>
    <definedName name="solver_rel181" localSheetId="14" hidden="1">1</definedName>
    <definedName name="solver_rel182" localSheetId="14" hidden="1">3</definedName>
    <definedName name="solver_rel183" localSheetId="14" hidden="1">1</definedName>
    <definedName name="solver_rel184" localSheetId="14" hidden="1">3</definedName>
    <definedName name="solver_rel185" localSheetId="14" hidden="1">1</definedName>
    <definedName name="solver_rel186" localSheetId="14" hidden="1">3</definedName>
    <definedName name="solver_rel187" localSheetId="14" hidden="1">1</definedName>
    <definedName name="solver_rel188" localSheetId="14" hidden="1">3</definedName>
    <definedName name="solver_rel189" localSheetId="14" hidden="1">1</definedName>
    <definedName name="solver_rel19" localSheetId="14" hidden="1">1</definedName>
    <definedName name="solver_rel19" localSheetId="11" hidden="1">1</definedName>
    <definedName name="solver_rel190" localSheetId="14" hidden="1">3</definedName>
    <definedName name="solver_rel191" localSheetId="14" hidden="1">1</definedName>
    <definedName name="solver_rel192" localSheetId="14" hidden="1">3</definedName>
    <definedName name="solver_rel193" localSheetId="14" hidden="1">1</definedName>
    <definedName name="solver_rel194" localSheetId="14" hidden="1">3</definedName>
    <definedName name="solver_rel195" localSheetId="14" hidden="1">1</definedName>
    <definedName name="solver_rel196" localSheetId="14" hidden="1">3</definedName>
    <definedName name="solver_rel197" localSheetId="14" hidden="1">1</definedName>
    <definedName name="solver_rel198" localSheetId="14" hidden="1">3</definedName>
    <definedName name="solver_rel199" localSheetId="14" hidden="1">1</definedName>
    <definedName name="solver_rel2" localSheetId="20" hidden="1">3</definedName>
    <definedName name="solver_rel2" localSheetId="14" hidden="1">3</definedName>
    <definedName name="solver_rel2" localSheetId="11" hidden="1">3</definedName>
    <definedName name="solver_rel20" localSheetId="14" hidden="1">3</definedName>
    <definedName name="solver_rel20" localSheetId="11" hidden="1">3</definedName>
    <definedName name="solver_rel200" localSheetId="14" hidden="1">3</definedName>
    <definedName name="solver_rel201" localSheetId="14" hidden="1">1</definedName>
    <definedName name="solver_rel202" localSheetId="14" hidden="1">3</definedName>
    <definedName name="solver_rel203" localSheetId="14" hidden="1">1</definedName>
    <definedName name="solver_rel204" localSheetId="14" hidden="1">3</definedName>
    <definedName name="solver_rel205" localSheetId="14" hidden="1">1</definedName>
    <definedName name="solver_rel206" localSheetId="14" hidden="1">3</definedName>
    <definedName name="solver_rel207" localSheetId="14" hidden="1">1</definedName>
    <definedName name="solver_rel208" localSheetId="14" hidden="1">3</definedName>
    <definedName name="solver_rel209" localSheetId="14" hidden="1">1</definedName>
    <definedName name="solver_rel21" localSheetId="14" hidden="1">1</definedName>
    <definedName name="solver_rel21" localSheetId="11" hidden="1">1</definedName>
    <definedName name="solver_rel210" localSheetId="14" hidden="1">3</definedName>
    <definedName name="solver_rel211" localSheetId="14" hidden="1">1</definedName>
    <definedName name="solver_rel212" localSheetId="14" hidden="1">3</definedName>
    <definedName name="solver_rel213" localSheetId="14" hidden="1">1</definedName>
    <definedName name="solver_rel214" localSheetId="14" hidden="1">3</definedName>
    <definedName name="solver_rel215" localSheetId="14" hidden="1">1</definedName>
    <definedName name="solver_rel216" localSheetId="14" hidden="1">3</definedName>
    <definedName name="solver_rel217" localSheetId="14" hidden="1">1</definedName>
    <definedName name="solver_rel218" localSheetId="14" hidden="1">3</definedName>
    <definedName name="solver_rel219" localSheetId="14" hidden="1">1</definedName>
    <definedName name="solver_rel22" localSheetId="14" hidden="1">3</definedName>
    <definedName name="solver_rel22" localSheetId="11" hidden="1">3</definedName>
    <definedName name="solver_rel220" localSheetId="14" hidden="1">3</definedName>
    <definedName name="solver_rel221" localSheetId="14" hidden="1">1</definedName>
    <definedName name="solver_rel222" localSheetId="14" hidden="1">3</definedName>
    <definedName name="solver_rel223" localSheetId="14" hidden="1">1</definedName>
    <definedName name="solver_rel224" localSheetId="14" hidden="1">3</definedName>
    <definedName name="solver_rel225" localSheetId="14" hidden="1">1</definedName>
    <definedName name="solver_rel226" localSheetId="14" hidden="1">3</definedName>
    <definedName name="solver_rel227" localSheetId="14" hidden="1">1</definedName>
    <definedName name="solver_rel228" localSheetId="14" hidden="1">3</definedName>
    <definedName name="solver_rel229" localSheetId="14" hidden="1">1</definedName>
    <definedName name="solver_rel23" localSheetId="14" hidden="1">1</definedName>
    <definedName name="solver_rel23" localSheetId="11" hidden="1">1</definedName>
    <definedName name="solver_rel230" localSheetId="14" hidden="1">3</definedName>
    <definedName name="solver_rel231" localSheetId="14" hidden="1">1</definedName>
    <definedName name="solver_rel232" localSheetId="14" hidden="1">3</definedName>
    <definedName name="solver_rel233" localSheetId="14" hidden="1">1</definedName>
    <definedName name="solver_rel234" localSheetId="14" hidden="1">3</definedName>
    <definedName name="solver_rel235" localSheetId="14" hidden="1">1</definedName>
    <definedName name="solver_rel236" localSheetId="14" hidden="1">3</definedName>
    <definedName name="solver_rel237" localSheetId="14" hidden="1">1</definedName>
    <definedName name="solver_rel238" localSheetId="14" hidden="1">3</definedName>
    <definedName name="solver_rel239" localSheetId="14" hidden="1">1</definedName>
    <definedName name="solver_rel24" localSheetId="14" hidden="1">3</definedName>
    <definedName name="solver_rel24" localSheetId="11" hidden="1">3</definedName>
    <definedName name="solver_rel240" localSheetId="14" hidden="1">3</definedName>
    <definedName name="solver_rel241" localSheetId="14" hidden="1">1</definedName>
    <definedName name="solver_rel242" localSheetId="14" hidden="1">3</definedName>
    <definedName name="solver_rel243" localSheetId="14" hidden="1">1</definedName>
    <definedName name="solver_rel244" localSheetId="14" hidden="1">3</definedName>
    <definedName name="solver_rel245" localSheetId="14" hidden="1">1</definedName>
    <definedName name="solver_rel246" localSheetId="14" hidden="1">3</definedName>
    <definedName name="solver_rel247" localSheetId="14" hidden="1">1</definedName>
    <definedName name="solver_rel248" localSheetId="14" hidden="1">3</definedName>
    <definedName name="solver_rel249" localSheetId="14" hidden="1">1</definedName>
    <definedName name="solver_rel25" localSheetId="14" hidden="1">1</definedName>
    <definedName name="solver_rel25" localSheetId="11" hidden="1">1</definedName>
    <definedName name="solver_rel250" localSheetId="14" hidden="1">3</definedName>
    <definedName name="solver_rel251" localSheetId="14" hidden="1">1</definedName>
    <definedName name="solver_rel252" localSheetId="14" hidden="1">3</definedName>
    <definedName name="solver_rel253" localSheetId="14" hidden="1">1</definedName>
    <definedName name="solver_rel254" localSheetId="14" hidden="1">3</definedName>
    <definedName name="solver_rel255" localSheetId="14" hidden="1">1</definedName>
    <definedName name="solver_rel256" localSheetId="14" hidden="1">3</definedName>
    <definedName name="solver_rel257" localSheetId="14" hidden="1">1</definedName>
    <definedName name="solver_rel258" localSheetId="14" hidden="1">3</definedName>
    <definedName name="solver_rel259" localSheetId="14" hidden="1">1</definedName>
    <definedName name="solver_rel26" localSheetId="14" hidden="1">3</definedName>
    <definedName name="solver_rel26" localSheetId="11" hidden="1">3</definedName>
    <definedName name="solver_rel260" localSheetId="14" hidden="1">3</definedName>
    <definedName name="solver_rel261" localSheetId="14" hidden="1">1</definedName>
    <definedName name="solver_rel262" localSheetId="14" hidden="1">3</definedName>
    <definedName name="solver_rel263" localSheetId="14" hidden="1">1</definedName>
    <definedName name="solver_rel264" localSheetId="14" hidden="1">3</definedName>
    <definedName name="solver_rel265" localSheetId="14" hidden="1">1</definedName>
    <definedName name="solver_rel266" localSheetId="14" hidden="1">3</definedName>
    <definedName name="solver_rel267" localSheetId="14" hidden="1">1</definedName>
    <definedName name="solver_rel268" localSheetId="14" hidden="1">3</definedName>
    <definedName name="solver_rel269" localSheetId="14" hidden="1">1</definedName>
    <definedName name="solver_rel27" localSheetId="14" hidden="1">1</definedName>
    <definedName name="solver_rel27" localSheetId="11" hidden="1">1</definedName>
    <definedName name="solver_rel270" localSheetId="14" hidden="1">3</definedName>
    <definedName name="solver_rel271" localSheetId="14" hidden="1">1</definedName>
    <definedName name="solver_rel272" localSheetId="14" hidden="1">3</definedName>
    <definedName name="solver_rel273" localSheetId="14" hidden="1">1</definedName>
    <definedName name="solver_rel274" localSheetId="14" hidden="1">3</definedName>
    <definedName name="solver_rel275" localSheetId="14" hidden="1">1</definedName>
    <definedName name="solver_rel276" localSheetId="14" hidden="1">3</definedName>
    <definedName name="solver_rel277" localSheetId="14" hidden="1">1</definedName>
    <definedName name="solver_rel278" localSheetId="14" hidden="1">3</definedName>
    <definedName name="solver_rel279" localSheetId="14" hidden="1">1</definedName>
    <definedName name="solver_rel28" localSheetId="14" hidden="1">3</definedName>
    <definedName name="solver_rel28" localSheetId="11" hidden="1">3</definedName>
    <definedName name="solver_rel280" localSheetId="14" hidden="1">3</definedName>
    <definedName name="solver_rel281" localSheetId="14" hidden="1">1</definedName>
    <definedName name="solver_rel282" localSheetId="14" hidden="1">3</definedName>
    <definedName name="solver_rel283" localSheetId="14" hidden="1">1</definedName>
    <definedName name="solver_rel284" localSheetId="14" hidden="1">3</definedName>
    <definedName name="solver_rel285" localSheetId="14" hidden="1">1</definedName>
    <definedName name="solver_rel286" localSheetId="14" hidden="1">3</definedName>
    <definedName name="solver_rel287" localSheetId="14" hidden="1">1</definedName>
    <definedName name="solver_rel288" localSheetId="14" hidden="1">3</definedName>
    <definedName name="solver_rel289" localSheetId="14" hidden="1">1</definedName>
    <definedName name="solver_rel29" localSheetId="14" hidden="1">1</definedName>
    <definedName name="solver_rel29" localSheetId="11" hidden="1">1</definedName>
    <definedName name="solver_rel290" localSheetId="14" hidden="1">3</definedName>
    <definedName name="solver_rel291" localSheetId="14" hidden="1">1</definedName>
    <definedName name="solver_rel292" localSheetId="14" hidden="1">3</definedName>
    <definedName name="solver_rel293" localSheetId="14" hidden="1">1</definedName>
    <definedName name="solver_rel294" localSheetId="14" hidden="1">3</definedName>
    <definedName name="solver_rel295" localSheetId="14" hidden="1">1</definedName>
    <definedName name="solver_rel296" localSheetId="14" hidden="1">3</definedName>
    <definedName name="solver_rel297" localSheetId="14" hidden="1">1</definedName>
    <definedName name="solver_rel298" localSheetId="14" hidden="1">3</definedName>
    <definedName name="solver_rel299" localSheetId="14" hidden="1">1</definedName>
    <definedName name="solver_rel3" localSheetId="20" hidden="1">3</definedName>
    <definedName name="solver_rel3" localSheetId="14" hidden="1">1</definedName>
    <definedName name="solver_rel3" localSheetId="11" hidden="1">3</definedName>
    <definedName name="solver_rel30" localSheetId="14" hidden="1">3</definedName>
    <definedName name="solver_rel30" localSheetId="11" hidden="1">3</definedName>
    <definedName name="solver_rel300" localSheetId="14" hidden="1">3</definedName>
    <definedName name="solver_rel301" localSheetId="14" hidden="1">1</definedName>
    <definedName name="solver_rel302" localSheetId="14" hidden="1">3</definedName>
    <definedName name="solver_rel303" localSheetId="14" hidden="1">1</definedName>
    <definedName name="solver_rel304" localSheetId="14" hidden="1">3</definedName>
    <definedName name="solver_rel305" localSheetId="14" hidden="1">1</definedName>
    <definedName name="solver_rel306" localSheetId="14" hidden="1">3</definedName>
    <definedName name="solver_rel307" localSheetId="14" hidden="1">1</definedName>
    <definedName name="solver_rel308" localSheetId="14" hidden="1">3</definedName>
    <definedName name="solver_rel309" localSheetId="14" hidden="1">1</definedName>
    <definedName name="solver_rel31" localSheetId="14" hidden="1">1</definedName>
    <definedName name="solver_rel31" localSheetId="11" hidden="1">1</definedName>
    <definedName name="solver_rel310" localSheetId="14" hidden="1">3</definedName>
    <definedName name="solver_rel311" localSheetId="14" hidden="1">1</definedName>
    <definedName name="solver_rel312" localSheetId="14" hidden="1">3</definedName>
    <definedName name="solver_rel313" localSheetId="14" hidden="1">1</definedName>
    <definedName name="solver_rel314" localSheetId="14" hidden="1">3</definedName>
    <definedName name="solver_rel315" localSheetId="14" hidden="1">1</definedName>
    <definedName name="solver_rel316" localSheetId="14" hidden="1">3</definedName>
    <definedName name="solver_rel317" localSheetId="14" hidden="1">1</definedName>
    <definedName name="solver_rel318" localSheetId="14" hidden="1">3</definedName>
    <definedName name="solver_rel319" localSheetId="14" hidden="1">1</definedName>
    <definedName name="solver_rel32" localSheetId="14" hidden="1">3</definedName>
    <definedName name="solver_rel32" localSheetId="11" hidden="1">3</definedName>
    <definedName name="solver_rel320" localSheetId="14" hidden="1">3</definedName>
    <definedName name="solver_rel321" localSheetId="14" hidden="1">1</definedName>
    <definedName name="solver_rel322" localSheetId="14" hidden="1">3</definedName>
    <definedName name="solver_rel323" localSheetId="14" hidden="1">1</definedName>
    <definedName name="solver_rel324" localSheetId="14" hidden="1">3</definedName>
    <definedName name="solver_rel325" localSheetId="14" hidden="1">1</definedName>
    <definedName name="solver_rel326" localSheetId="14" hidden="1">3</definedName>
    <definedName name="solver_rel327" localSheetId="14" hidden="1">1</definedName>
    <definedName name="solver_rel328" localSheetId="14" hidden="1">3</definedName>
    <definedName name="solver_rel329" localSheetId="14" hidden="1">1</definedName>
    <definedName name="solver_rel33" localSheetId="14" hidden="1">1</definedName>
    <definedName name="solver_rel33" localSheetId="11" hidden="1">1</definedName>
    <definedName name="solver_rel330" localSheetId="14" hidden="1">3</definedName>
    <definedName name="solver_rel331" localSheetId="14" hidden="1">1</definedName>
    <definedName name="solver_rel332" localSheetId="14" hidden="1">3</definedName>
    <definedName name="solver_rel333" localSheetId="14" hidden="1">1</definedName>
    <definedName name="solver_rel334" localSheetId="14" hidden="1">3</definedName>
    <definedName name="solver_rel335" localSheetId="14" hidden="1">1</definedName>
    <definedName name="solver_rel336" localSheetId="14" hidden="1">3</definedName>
    <definedName name="solver_rel337" localSheetId="14" hidden="1">1</definedName>
    <definedName name="solver_rel338" localSheetId="14" hidden="1">3</definedName>
    <definedName name="solver_rel339" localSheetId="14" hidden="1">1</definedName>
    <definedName name="solver_rel34" localSheetId="14" hidden="1">3</definedName>
    <definedName name="solver_rel34" localSheetId="11" hidden="1">3</definedName>
    <definedName name="solver_rel340" localSheetId="14" hidden="1">3</definedName>
    <definedName name="solver_rel341" localSheetId="14" hidden="1">1</definedName>
    <definedName name="solver_rel342" localSheetId="14" hidden="1">3</definedName>
    <definedName name="solver_rel343" localSheetId="14" hidden="1">1</definedName>
    <definedName name="solver_rel344" localSheetId="14" hidden="1">3</definedName>
    <definedName name="solver_rel345" localSheetId="14" hidden="1">1</definedName>
    <definedName name="solver_rel346" localSheetId="14" hidden="1">3</definedName>
    <definedName name="solver_rel347" localSheetId="14" hidden="1">1</definedName>
    <definedName name="solver_rel348" localSheetId="14" hidden="1">3</definedName>
    <definedName name="solver_rel349" localSheetId="14" hidden="1">1</definedName>
    <definedName name="solver_rel35" localSheetId="14" hidden="1">1</definedName>
    <definedName name="solver_rel35" localSheetId="11" hidden="1">1</definedName>
    <definedName name="solver_rel350" localSheetId="14" hidden="1">3</definedName>
    <definedName name="solver_rel351" localSheetId="14" hidden="1">1</definedName>
    <definedName name="solver_rel352" localSheetId="14" hidden="1">3</definedName>
    <definedName name="solver_rel353" localSheetId="14" hidden="1">1</definedName>
    <definedName name="solver_rel354" localSheetId="14" hidden="1">3</definedName>
    <definedName name="solver_rel355" localSheetId="14" hidden="1">1</definedName>
    <definedName name="solver_rel356" localSheetId="14" hidden="1">3</definedName>
    <definedName name="solver_rel357" localSheetId="14" hidden="1">1</definedName>
    <definedName name="solver_rel358" localSheetId="14" hidden="1">3</definedName>
    <definedName name="solver_rel359" localSheetId="14" hidden="1">1</definedName>
    <definedName name="solver_rel36" localSheetId="14" hidden="1">3</definedName>
    <definedName name="solver_rel36" localSheetId="11" hidden="1">3</definedName>
    <definedName name="solver_rel360" localSheetId="14" hidden="1">3</definedName>
    <definedName name="solver_rel361" localSheetId="14" hidden="1">1</definedName>
    <definedName name="solver_rel362" localSheetId="14" hidden="1">3</definedName>
    <definedName name="solver_rel37" localSheetId="14" hidden="1">1</definedName>
    <definedName name="solver_rel37" localSheetId="11" hidden="1">1</definedName>
    <definedName name="solver_rel38" localSheetId="14" hidden="1">3</definedName>
    <definedName name="solver_rel38" localSheetId="11" hidden="1">3</definedName>
    <definedName name="solver_rel39" localSheetId="14" hidden="1">1</definedName>
    <definedName name="solver_rel39" localSheetId="11" hidden="1">1</definedName>
    <definedName name="solver_rel4" localSheetId="14" hidden="1">3</definedName>
    <definedName name="solver_rel4" localSheetId="11" hidden="1">1</definedName>
    <definedName name="solver_rel40" localSheetId="14" hidden="1">3</definedName>
    <definedName name="solver_rel40" localSheetId="11" hidden="1">3</definedName>
    <definedName name="solver_rel41" localSheetId="14" hidden="1">1</definedName>
    <definedName name="solver_rel41" localSheetId="11" hidden="1">1</definedName>
    <definedName name="solver_rel42" localSheetId="14" hidden="1">3</definedName>
    <definedName name="solver_rel42" localSheetId="11" hidden="1">3</definedName>
    <definedName name="solver_rel43" localSheetId="14" hidden="1">1</definedName>
    <definedName name="solver_rel43" localSheetId="11" hidden="1">1</definedName>
    <definedName name="solver_rel44" localSheetId="14" hidden="1">3</definedName>
    <definedName name="solver_rel44" localSheetId="11" hidden="1">3</definedName>
    <definedName name="solver_rel45" localSheetId="14" hidden="1">1</definedName>
    <definedName name="solver_rel45" localSheetId="11" hidden="1">1</definedName>
    <definedName name="solver_rel46" localSheetId="14" hidden="1">3</definedName>
    <definedName name="solver_rel46" localSheetId="11" hidden="1">3</definedName>
    <definedName name="solver_rel47" localSheetId="14" hidden="1">1</definedName>
    <definedName name="solver_rel47" localSheetId="11" hidden="1">1</definedName>
    <definedName name="solver_rel48" localSheetId="14" hidden="1">3</definedName>
    <definedName name="solver_rel48" localSheetId="11" hidden="1">3</definedName>
    <definedName name="solver_rel49" localSheetId="14" hidden="1">1</definedName>
    <definedName name="solver_rel49" localSheetId="11" hidden="1">1</definedName>
    <definedName name="solver_rel5" localSheetId="14" hidden="1">1</definedName>
    <definedName name="solver_rel5" localSheetId="11" hidden="1">1</definedName>
    <definedName name="solver_rel50" localSheetId="14" hidden="1">3</definedName>
    <definedName name="solver_rel50" localSheetId="11" hidden="1">3</definedName>
    <definedName name="solver_rel51" localSheetId="14" hidden="1">1</definedName>
    <definedName name="solver_rel51" localSheetId="11" hidden="1">1</definedName>
    <definedName name="solver_rel52" localSheetId="14" hidden="1">3</definedName>
    <definedName name="solver_rel52" localSheetId="11" hidden="1">3</definedName>
    <definedName name="solver_rel53" localSheetId="14" hidden="1">1</definedName>
    <definedName name="solver_rel53" localSheetId="11" hidden="1">1</definedName>
    <definedName name="solver_rel54" localSheetId="14" hidden="1">3</definedName>
    <definedName name="solver_rel54" localSheetId="11" hidden="1">3</definedName>
    <definedName name="solver_rel55" localSheetId="14" hidden="1">1</definedName>
    <definedName name="solver_rel55" localSheetId="11" hidden="1">1</definedName>
    <definedName name="solver_rel56" localSheetId="14" hidden="1">3</definedName>
    <definedName name="solver_rel56" localSheetId="11" hidden="1">3</definedName>
    <definedName name="solver_rel57" localSheetId="14" hidden="1">1</definedName>
    <definedName name="solver_rel57" localSheetId="11" hidden="1">1</definedName>
    <definedName name="solver_rel58" localSheetId="14" hidden="1">3</definedName>
    <definedName name="solver_rel58" localSheetId="11" hidden="1">3</definedName>
    <definedName name="solver_rel59" localSheetId="14" hidden="1">1</definedName>
    <definedName name="solver_rel59" localSheetId="11" hidden="1">1</definedName>
    <definedName name="solver_rel6" localSheetId="14" hidden="1">3</definedName>
    <definedName name="solver_rel6" localSheetId="11" hidden="1">3</definedName>
    <definedName name="solver_rel60" localSheetId="14" hidden="1">3</definedName>
    <definedName name="solver_rel60" localSheetId="11" hidden="1">3</definedName>
    <definedName name="solver_rel61" localSheetId="14" hidden="1">1</definedName>
    <definedName name="solver_rel61" localSheetId="11" hidden="1">1</definedName>
    <definedName name="solver_rel62" localSheetId="14" hidden="1">3</definedName>
    <definedName name="solver_rel62" localSheetId="11" hidden="1">3</definedName>
    <definedName name="solver_rel63" localSheetId="14" hidden="1">1</definedName>
    <definedName name="solver_rel63" localSheetId="11" hidden="1">1</definedName>
    <definedName name="solver_rel64" localSheetId="14" hidden="1">3</definedName>
    <definedName name="solver_rel64" localSheetId="11" hidden="1">3</definedName>
    <definedName name="solver_rel65" localSheetId="14" hidden="1">1</definedName>
    <definedName name="solver_rel65" localSheetId="11" hidden="1">1</definedName>
    <definedName name="solver_rel66" localSheetId="14" hidden="1">3</definedName>
    <definedName name="solver_rel66" localSheetId="11" hidden="1">3</definedName>
    <definedName name="solver_rel67" localSheetId="14" hidden="1">1</definedName>
    <definedName name="solver_rel67" localSheetId="11" hidden="1">1</definedName>
    <definedName name="solver_rel68" localSheetId="14" hidden="1">3</definedName>
    <definedName name="solver_rel68" localSheetId="11" hidden="1">3</definedName>
    <definedName name="solver_rel69" localSheetId="14" hidden="1">1</definedName>
    <definedName name="solver_rel69" localSheetId="11" hidden="1">1</definedName>
    <definedName name="solver_rel7" localSheetId="14" hidden="1">1</definedName>
    <definedName name="solver_rel7" localSheetId="11" hidden="1">1</definedName>
    <definedName name="solver_rel70" localSheetId="14" hidden="1">3</definedName>
    <definedName name="solver_rel70" localSheetId="11" hidden="1">3</definedName>
    <definedName name="solver_rel71" localSheetId="14" hidden="1">1</definedName>
    <definedName name="solver_rel71" localSheetId="11" hidden="1">1</definedName>
    <definedName name="solver_rel72" localSheetId="14" hidden="1">3</definedName>
    <definedName name="solver_rel72" localSheetId="11" hidden="1">3</definedName>
    <definedName name="solver_rel73" localSheetId="14" hidden="1">1</definedName>
    <definedName name="solver_rel73" localSheetId="11" hidden="1">1</definedName>
    <definedName name="solver_rel74" localSheetId="14" hidden="1">3</definedName>
    <definedName name="solver_rel74" localSheetId="11" hidden="1">3</definedName>
    <definedName name="solver_rel75" localSheetId="14" hidden="1">1</definedName>
    <definedName name="solver_rel75" localSheetId="11" hidden="1">1</definedName>
    <definedName name="solver_rel76" localSheetId="14" hidden="1">3</definedName>
    <definedName name="solver_rel76" localSheetId="11" hidden="1">3</definedName>
    <definedName name="solver_rel77" localSheetId="14" hidden="1">1</definedName>
    <definedName name="solver_rel77" localSheetId="11" hidden="1">1</definedName>
    <definedName name="solver_rel78" localSheetId="14" hidden="1">3</definedName>
    <definedName name="solver_rel78" localSheetId="11" hidden="1">3</definedName>
    <definedName name="solver_rel79" localSheetId="14" hidden="1">1</definedName>
    <definedName name="solver_rel79" localSheetId="11" hidden="1">1</definedName>
    <definedName name="solver_rel8" localSheetId="14" hidden="1">3</definedName>
    <definedName name="solver_rel8" localSheetId="11" hidden="1">3</definedName>
    <definedName name="solver_rel80" localSheetId="14" hidden="1">3</definedName>
    <definedName name="solver_rel80" localSheetId="11" hidden="1">3</definedName>
    <definedName name="solver_rel81" localSheetId="14" hidden="1">1</definedName>
    <definedName name="solver_rel81" localSheetId="11" hidden="1">1</definedName>
    <definedName name="solver_rel82" localSheetId="14" hidden="1">3</definedName>
    <definedName name="solver_rel82" localSheetId="11" hidden="1">3</definedName>
    <definedName name="solver_rel83" localSheetId="14" hidden="1">1</definedName>
    <definedName name="solver_rel83" localSheetId="11" hidden="1">1</definedName>
    <definedName name="solver_rel84" localSheetId="14" hidden="1">3</definedName>
    <definedName name="solver_rel84" localSheetId="11" hidden="1">3</definedName>
    <definedName name="solver_rel85" localSheetId="14" hidden="1">1</definedName>
    <definedName name="solver_rel85" localSheetId="11" hidden="1">1</definedName>
    <definedName name="solver_rel86" localSheetId="14" hidden="1">3</definedName>
    <definedName name="solver_rel86" localSheetId="11" hidden="1">3</definedName>
    <definedName name="solver_rel87" localSheetId="14" hidden="1">1</definedName>
    <definedName name="solver_rel87" localSheetId="11" hidden="1">1</definedName>
    <definedName name="solver_rel88" localSheetId="14" hidden="1">3</definedName>
    <definedName name="solver_rel88" localSheetId="11" hidden="1">3</definedName>
    <definedName name="solver_rel89" localSheetId="14" hidden="1">1</definedName>
    <definedName name="solver_rel89" localSheetId="11" hidden="1">1</definedName>
    <definedName name="solver_rel9" localSheetId="14" hidden="1">1</definedName>
    <definedName name="solver_rel9" localSheetId="11" hidden="1">1</definedName>
    <definedName name="solver_rel90" localSheetId="14" hidden="1">3</definedName>
    <definedName name="solver_rel90" localSheetId="11" hidden="1">3</definedName>
    <definedName name="solver_rel91" localSheetId="14" hidden="1">1</definedName>
    <definedName name="solver_rel91" localSheetId="11" hidden="1">1</definedName>
    <definedName name="solver_rel92" localSheetId="14" hidden="1">3</definedName>
    <definedName name="solver_rel92" localSheetId="11" hidden="1">3</definedName>
    <definedName name="solver_rel93" localSheetId="14" hidden="1">1</definedName>
    <definedName name="solver_rel93" localSheetId="11" hidden="1">1</definedName>
    <definedName name="solver_rel94" localSheetId="14" hidden="1">3</definedName>
    <definedName name="solver_rel94" localSheetId="11" hidden="1">3</definedName>
    <definedName name="solver_rel95" localSheetId="14" hidden="1">1</definedName>
    <definedName name="solver_rel95" localSheetId="11" hidden="1">1</definedName>
    <definedName name="solver_rel96" localSheetId="14" hidden="1">3</definedName>
    <definedName name="solver_rel96" localSheetId="11" hidden="1">3</definedName>
    <definedName name="solver_rel97" localSheetId="14" hidden="1">1</definedName>
    <definedName name="solver_rel97" localSheetId="11" hidden="1">1</definedName>
    <definedName name="solver_rel98" localSheetId="14" hidden="1">3</definedName>
    <definedName name="solver_rel98" localSheetId="11" hidden="1">3</definedName>
    <definedName name="solver_rel99" localSheetId="14" hidden="1">1</definedName>
    <definedName name="solver_rel99" localSheetId="11" hidden="1">1</definedName>
    <definedName name="solver_rhs1" localSheetId="20" hidden="1">0</definedName>
    <definedName name="solver_rhs1" localSheetId="14" hidden="1">1</definedName>
    <definedName name="solver_rhs1" localSheetId="11" hidden="1">165</definedName>
    <definedName name="solver_rhs10" localSheetId="14" hidden="1">0</definedName>
    <definedName name="solver_rhs10" localSheetId="11" hidden="1">0</definedName>
    <definedName name="solver_rhs100" localSheetId="14" hidden="1">0</definedName>
    <definedName name="solver_rhs100" localSheetId="11" hidden="1">0</definedName>
    <definedName name="solver_rhs101" localSheetId="14" hidden="1">1</definedName>
    <definedName name="solver_rhs101" localSheetId="11" hidden="1">1</definedName>
    <definedName name="solver_rhs102" localSheetId="14" hidden="1">0</definedName>
    <definedName name="solver_rhs102" localSheetId="11" hidden="1">0</definedName>
    <definedName name="solver_rhs103" localSheetId="14" hidden="1">1</definedName>
    <definedName name="solver_rhs103" localSheetId="11" hidden="1">1</definedName>
    <definedName name="solver_rhs104" localSheetId="14" hidden="1">0</definedName>
    <definedName name="solver_rhs104" localSheetId="11" hidden="1">0</definedName>
    <definedName name="solver_rhs105" localSheetId="14" hidden="1">1</definedName>
    <definedName name="solver_rhs105" localSheetId="11" hidden="1">1</definedName>
    <definedName name="solver_rhs106" localSheetId="14" hidden="1">0</definedName>
    <definedName name="solver_rhs106" localSheetId="11" hidden="1">0</definedName>
    <definedName name="solver_rhs107" localSheetId="14" hidden="1">1</definedName>
    <definedName name="solver_rhs107" localSheetId="11" hidden="1">1</definedName>
    <definedName name="solver_rhs108" localSheetId="14" hidden="1">0</definedName>
    <definedName name="solver_rhs108" localSheetId="11" hidden="1">0</definedName>
    <definedName name="solver_rhs109" localSheetId="14" hidden="1">1</definedName>
    <definedName name="solver_rhs109" localSheetId="11" hidden="1">1</definedName>
    <definedName name="solver_rhs11" localSheetId="14" hidden="1">1</definedName>
    <definedName name="solver_rhs11" localSheetId="11" hidden="1">1</definedName>
    <definedName name="solver_rhs110" localSheetId="14" hidden="1">0</definedName>
    <definedName name="solver_rhs110" localSheetId="11" hidden="1">0</definedName>
    <definedName name="solver_rhs111" localSheetId="14" hidden="1">1</definedName>
    <definedName name="solver_rhs111" localSheetId="11" hidden="1">1</definedName>
    <definedName name="solver_rhs112" localSheetId="14" hidden="1">0</definedName>
    <definedName name="solver_rhs112" localSheetId="11" hidden="1">0</definedName>
    <definedName name="solver_rhs113" localSheetId="14" hidden="1">1</definedName>
    <definedName name="solver_rhs113" localSheetId="11" hidden="1">1</definedName>
    <definedName name="solver_rhs114" localSheetId="14" hidden="1">0</definedName>
    <definedName name="solver_rhs114" localSheetId="11" hidden="1">0</definedName>
    <definedName name="solver_rhs115" localSheetId="14" hidden="1">1</definedName>
    <definedName name="solver_rhs115" localSheetId="11" hidden="1">1</definedName>
    <definedName name="solver_rhs116" localSheetId="14" hidden="1">0</definedName>
    <definedName name="solver_rhs116" localSheetId="11" hidden="1">0</definedName>
    <definedName name="solver_rhs117" localSheetId="14" hidden="1">1</definedName>
    <definedName name="solver_rhs118" localSheetId="14" hidden="1">0</definedName>
    <definedName name="solver_rhs119" localSheetId="14" hidden="1">1</definedName>
    <definedName name="solver_rhs12" localSheetId="14" hidden="1">0</definedName>
    <definedName name="solver_rhs12" localSheetId="11" hidden="1">0</definedName>
    <definedName name="solver_rhs120" localSheetId="14" hidden="1">0</definedName>
    <definedName name="solver_rhs121" localSheetId="14" hidden="1">1</definedName>
    <definedName name="solver_rhs122" localSheetId="14" hidden="1">0</definedName>
    <definedName name="solver_rhs123" localSheetId="14" hidden="1">1</definedName>
    <definedName name="solver_rhs124" localSheetId="14" hidden="1">0</definedName>
    <definedName name="solver_rhs125" localSheetId="14" hidden="1">1</definedName>
    <definedName name="solver_rhs126" localSheetId="14" hidden="1">0</definedName>
    <definedName name="solver_rhs127" localSheetId="14" hidden="1">1</definedName>
    <definedName name="solver_rhs128" localSheetId="14" hidden="1">0</definedName>
    <definedName name="solver_rhs129" localSheetId="14" hidden="1">1</definedName>
    <definedName name="solver_rhs13" localSheetId="14" hidden="1">1</definedName>
    <definedName name="solver_rhs13" localSheetId="11" hidden="1">1</definedName>
    <definedName name="solver_rhs130" localSheetId="14" hidden="1">0</definedName>
    <definedName name="solver_rhs131" localSheetId="14" hidden="1">1</definedName>
    <definedName name="solver_rhs132" localSheetId="14" hidden="1">0</definedName>
    <definedName name="solver_rhs133" localSheetId="14" hidden="1">1</definedName>
    <definedName name="solver_rhs134" localSheetId="14" hidden="1">0</definedName>
    <definedName name="solver_rhs135" localSheetId="14" hidden="1">1</definedName>
    <definedName name="solver_rhs136" localSheetId="14" hidden="1">0</definedName>
    <definedName name="solver_rhs137" localSheetId="14" hidden="1">1</definedName>
    <definedName name="solver_rhs138" localSheetId="14" hidden="1">0</definedName>
    <definedName name="solver_rhs139" localSheetId="14" hidden="1">1</definedName>
    <definedName name="solver_rhs14" localSheetId="14" hidden="1">0</definedName>
    <definedName name="solver_rhs14" localSheetId="11" hidden="1">0</definedName>
    <definedName name="solver_rhs140" localSheetId="14" hidden="1">0</definedName>
    <definedName name="solver_rhs141" localSheetId="14" hidden="1">1</definedName>
    <definedName name="solver_rhs142" localSheetId="14" hidden="1">0</definedName>
    <definedName name="solver_rhs143" localSheetId="14" hidden="1">1</definedName>
    <definedName name="solver_rhs144" localSheetId="14" hidden="1">0</definedName>
    <definedName name="solver_rhs145" localSheetId="14" hidden="1">1</definedName>
    <definedName name="solver_rhs146" localSheetId="14" hidden="1">0</definedName>
    <definedName name="solver_rhs147" localSheetId="14" hidden="1">1</definedName>
    <definedName name="solver_rhs148" localSheetId="14" hidden="1">0</definedName>
    <definedName name="solver_rhs149" localSheetId="14" hidden="1">1</definedName>
    <definedName name="solver_rhs15" localSheetId="14" hidden="1">1</definedName>
    <definedName name="solver_rhs15" localSheetId="11" hidden="1">1</definedName>
    <definedName name="solver_rhs150" localSheetId="14" hidden="1">0</definedName>
    <definedName name="solver_rhs151" localSheetId="14" hidden="1">1</definedName>
    <definedName name="solver_rhs152" localSheetId="14" hidden="1">0</definedName>
    <definedName name="solver_rhs153" localSheetId="14" hidden="1">1</definedName>
    <definedName name="solver_rhs154" localSheetId="14" hidden="1">0</definedName>
    <definedName name="solver_rhs155" localSheetId="14" hidden="1">1</definedName>
    <definedName name="solver_rhs156" localSheetId="14" hidden="1">0</definedName>
    <definedName name="solver_rhs157" localSheetId="14" hidden="1">1</definedName>
    <definedName name="solver_rhs158" localSheetId="14" hidden="1">0</definedName>
    <definedName name="solver_rhs159" localSheetId="14" hidden="1">1</definedName>
    <definedName name="solver_rhs16" localSheetId="14" hidden="1">0</definedName>
    <definedName name="solver_rhs16" localSheetId="11" hidden="1">0</definedName>
    <definedName name="solver_rhs160" localSheetId="14" hidden="1">0</definedName>
    <definedName name="solver_rhs161" localSheetId="14" hidden="1">1</definedName>
    <definedName name="solver_rhs162" localSheetId="14" hidden="1">0</definedName>
    <definedName name="solver_rhs163" localSheetId="14" hidden="1">1</definedName>
    <definedName name="solver_rhs164" localSheetId="14" hidden="1">0</definedName>
    <definedName name="solver_rhs165" localSheetId="14" hidden="1">1</definedName>
    <definedName name="solver_rhs166" localSheetId="14" hidden="1">0</definedName>
    <definedName name="solver_rhs167" localSheetId="14" hidden="1">1</definedName>
    <definedName name="solver_rhs168" localSheetId="14" hidden="1">0</definedName>
    <definedName name="solver_rhs169" localSheetId="14" hidden="1">1</definedName>
    <definedName name="solver_rhs17" localSheetId="14" hidden="1">1</definedName>
    <definedName name="solver_rhs17" localSheetId="11" hidden="1">1</definedName>
    <definedName name="solver_rhs170" localSheetId="14" hidden="1">0</definedName>
    <definedName name="solver_rhs171" localSheetId="14" hidden="1">1</definedName>
    <definedName name="solver_rhs172" localSheetId="14" hidden="1">0</definedName>
    <definedName name="solver_rhs173" localSheetId="14" hidden="1">1</definedName>
    <definedName name="solver_rhs174" localSheetId="14" hidden="1">0</definedName>
    <definedName name="solver_rhs175" localSheetId="14" hidden="1">1</definedName>
    <definedName name="solver_rhs176" localSheetId="14" hidden="1">0</definedName>
    <definedName name="solver_rhs177" localSheetId="14" hidden="1">1</definedName>
    <definedName name="solver_rhs178" localSheetId="14" hidden="1">0</definedName>
    <definedName name="solver_rhs179" localSheetId="14" hidden="1">1</definedName>
    <definedName name="solver_rhs18" localSheetId="14" hidden="1">0</definedName>
    <definedName name="solver_rhs18" localSheetId="11" hidden="1">0</definedName>
    <definedName name="solver_rhs180" localSheetId="14" hidden="1">0</definedName>
    <definedName name="solver_rhs181" localSheetId="14" hidden="1">1</definedName>
    <definedName name="solver_rhs182" localSheetId="14" hidden="1">0</definedName>
    <definedName name="solver_rhs183" localSheetId="14" hidden="1">1</definedName>
    <definedName name="solver_rhs184" localSheetId="14" hidden="1">0</definedName>
    <definedName name="solver_rhs185" localSheetId="14" hidden="1">1</definedName>
    <definedName name="solver_rhs186" localSheetId="14" hidden="1">0</definedName>
    <definedName name="solver_rhs187" localSheetId="14" hidden="1">1</definedName>
    <definedName name="solver_rhs188" localSheetId="14" hidden="1">0</definedName>
    <definedName name="solver_rhs189" localSheetId="14" hidden="1">1</definedName>
    <definedName name="solver_rhs19" localSheetId="14" hidden="1">1</definedName>
    <definedName name="solver_rhs19" localSheetId="11" hidden="1">1</definedName>
    <definedName name="solver_rhs190" localSheetId="14" hidden="1">0</definedName>
    <definedName name="solver_rhs191" localSheetId="14" hidden="1">1</definedName>
    <definedName name="solver_rhs192" localSheetId="14" hidden="1">0</definedName>
    <definedName name="solver_rhs193" localSheetId="14" hidden="1">1</definedName>
    <definedName name="solver_rhs194" localSheetId="14" hidden="1">0</definedName>
    <definedName name="solver_rhs195" localSheetId="14" hidden="1">1</definedName>
    <definedName name="solver_rhs196" localSheetId="14" hidden="1">0</definedName>
    <definedName name="solver_rhs197" localSheetId="14" hidden="1">1</definedName>
    <definedName name="solver_rhs198" localSheetId="14" hidden="1">0</definedName>
    <definedName name="solver_rhs199" localSheetId="14" hidden="1">1</definedName>
    <definedName name="solver_rhs2" localSheetId="20" hidden="1">0</definedName>
    <definedName name="solver_rhs2" localSheetId="14" hidden="1">0</definedName>
    <definedName name="solver_rhs2" localSheetId="11" hidden="1">0</definedName>
    <definedName name="solver_rhs20" localSheetId="14" hidden="1">0</definedName>
    <definedName name="solver_rhs20" localSheetId="11" hidden="1">0</definedName>
    <definedName name="solver_rhs200" localSheetId="14" hidden="1">0</definedName>
    <definedName name="solver_rhs201" localSheetId="14" hidden="1">1</definedName>
    <definedName name="solver_rhs202" localSheetId="14" hidden="1">0</definedName>
    <definedName name="solver_rhs203" localSheetId="14" hidden="1">1</definedName>
    <definedName name="solver_rhs204" localSheetId="14" hidden="1">0</definedName>
    <definedName name="solver_rhs205" localSheetId="14" hidden="1">1</definedName>
    <definedName name="solver_rhs206" localSheetId="14" hidden="1">0</definedName>
    <definedName name="solver_rhs207" localSheetId="14" hidden="1">1</definedName>
    <definedName name="solver_rhs208" localSheetId="14" hidden="1">0</definedName>
    <definedName name="solver_rhs209" localSheetId="14" hidden="1">1</definedName>
    <definedName name="solver_rhs21" localSheetId="14" hidden="1">1</definedName>
    <definedName name="solver_rhs21" localSheetId="11" hidden="1">1</definedName>
    <definedName name="solver_rhs210" localSheetId="14" hidden="1">0</definedName>
    <definedName name="solver_rhs211" localSheetId="14" hidden="1">1</definedName>
    <definedName name="solver_rhs212" localSheetId="14" hidden="1">0</definedName>
    <definedName name="solver_rhs213" localSheetId="14" hidden="1">1</definedName>
    <definedName name="solver_rhs214" localSheetId="14" hidden="1">0</definedName>
    <definedName name="solver_rhs215" localSheetId="14" hidden="1">1</definedName>
    <definedName name="solver_rhs216" localSheetId="14" hidden="1">0</definedName>
    <definedName name="solver_rhs217" localSheetId="14" hidden="1">1</definedName>
    <definedName name="solver_rhs218" localSheetId="14" hidden="1">0</definedName>
    <definedName name="solver_rhs219" localSheetId="14" hidden="1">1</definedName>
    <definedName name="solver_rhs22" localSheetId="14" hidden="1">0</definedName>
    <definedName name="solver_rhs22" localSheetId="11" hidden="1">0</definedName>
    <definedName name="solver_rhs220" localSheetId="14" hidden="1">0</definedName>
    <definedName name="solver_rhs221" localSheetId="14" hidden="1">1</definedName>
    <definedName name="solver_rhs222" localSheetId="14" hidden="1">0</definedName>
    <definedName name="solver_rhs223" localSheetId="14" hidden="1">1</definedName>
    <definedName name="solver_rhs224" localSheetId="14" hidden="1">0</definedName>
    <definedName name="solver_rhs225" localSheetId="14" hidden="1">1</definedName>
    <definedName name="solver_rhs226" localSheetId="14" hidden="1">0</definedName>
    <definedName name="solver_rhs227" localSheetId="14" hidden="1">1</definedName>
    <definedName name="solver_rhs228" localSheetId="14" hidden="1">0</definedName>
    <definedName name="solver_rhs229" localSheetId="14" hidden="1">1</definedName>
    <definedName name="solver_rhs23" localSheetId="14" hidden="1">1</definedName>
    <definedName name="solver_rhs23" localSheetId="11" hidden="1">1</definedName>
    <definedName name="solver_rhs230" localSheetId="14" hidden="1">0</definedName>
    <definedName name="solver_rhs231" localSheetId="14" hidden="1">1</definedName>
    <definedName name="solver_rhs232" localSheetId="14" hidden="1">0</definedName>
    <definedName name="solver_rhs233" localSheetId="14" hidden="1">1</definedName>
    <definedName name="solver_rhs234" localSheetId="14" hidden="1">0</definedName>
    <definedName name="solver_rhs235" localSheetId="14" hidden="1">1</definedName>
    <definedName name="solver_rhs236" localSheetId="14" hidden="1">0</definedName>
    <definedName name="solver_rhs237" localSheetId="14" hidden="1">1</definedName>
    <definedName name="solver_rhs238" localSheetId="14" hidden="1">0</definedName>
    <definedName name="solver_rhs239" localSheetId="14" hidden="1">1</definedName>
    <definedName name="solver_rhs24" localSheetId="14" hidden="1">0</definedName>
    <definedName name="solver_rhs24" localSheetId="11" hidden="1">0</definedName>
    <definedName name="solver_rhs240" localSheetId="14" hidden="1">0</definedName>
    <definedName name="solver_rhs241" localSheetId="14" hidden="1">1</definedName>
    <definedName name="solver_rhs242" localSheetId="14" hidden="1">0</definedName>
    <definedName name="solver_rhs243" localSheetId="14" hidden="1">1</definedName>
    <definedName name="solver_rhs244" localSheetId="14" hidden="1">0</definedName>
    <definedName name="solver_rhs245" localSheetId="14" hidden="1">1</definedName>
    <definedName name="solver_rhs246" localSheetId="14" hidden="1">0</definedName>
    <definedName name="solver_rhs247" localSheetId="14" hidden="1">1</definedName>
    <definedName name="solver_rhs248" localSheetId="14" hidden="1">0</definedName>
    <definedName name="solver_rhs249" localSheetId="14" hidden="1">1</definedName>
    <definedName name="solver_rhs25" localSheetId="14" hidden="1">1</definedName>
    <definedName name="solver_rhs25" localSheetId="11" hidden="1">1</definedName>
    <definedName name="solver_rhs250" localSheetId="14" hidden="1">0</definedName>
    <definedName name="solver_rhs251" localSheetId="14" hidden="1">1</definedName>
    <definedName name="solver_rhs252" localSheetId="14" hidden="1">0</definedName>
    <definedName name="solver_rhs253" localSheetId="14" hidden="1">1</definedName>
    <definedName name="solver_rhs254" localSheetId="14" hidden="1">0</definedName>
    <definedName name="solver_rhs255" localSheetId="14" hidden="1">1</definedName>
    <definedName name="solver_rhs256" localSheetId="14" hidden="1">0</definedName>
    <definedName name="solver_rhs257" localSheetId="14" hidden="1">1</definedName>
    <definedName name="solver_rhs258" localSheetId="14" hidden="1">0</definedName>
    <definedName name="solver_rhs259" localSheetId="14" hidden="1">1</definedName>
    <definedName name="solver_rhs26" localSheetId="14" hidden="1">0</definedName>
    <definedName name="solver_rhs26" localSheetId="11" hidden="1">0</definedName>
    <definedName name="solver_rhs260" localSheetId="14" hidden="1">0</definedName>
    <definedName name="solver_rhs261" localSheetId="14" hidden="1">1</definedName>
    <definedName name="solver_rhs262" localSheetId="14" hidden="1">0</definedName>
    <definedName name="solver_rhs263" localSheetId="14" hidden="1">1</definedName>
    <definedName name="solver_rhs264" localSheetId="14" hidden="1">0</definedName>
    <definedName name="solver_rhs265" localSheetId="14" hidden="1">1</definedName>
    <definedName name="solver_rhs266" localSheetId="14" hidden="1">0</definedName>
    <definedName name="solver_rhs267" localSheetId="14" hidden="1">1</definedName>
    <definedName name="solver_rhs268" localSheetId="14" hidden="1">0</definedName>
    <definedName name="solver_rhs269" localSheetId="14" hidden="1">1</definedName>
    <definedName name="solver_rhs27" localSheetId="14" hidden="1">1</definedName>
    <definedName name="solver_rhs27" localSheetId="11" hidden="1">1</definedName>
    <definedName name="solver_rhs270" localSheetId="14" hidden="1">0</definedName>
    <definedName name="solver_rhs271" localSheetId="14" hidden="1">1</definedName>
    <definedName name="solver_rhs272" localSheetId="14" hidden="1">0</definedName>
    <definedName name="solver_rhs273" localSheetId="14" hidden="1">1</definedName>
    <definedName name="solver_rhs274" localSheetId="14" hidden="1">0</definedName>
    <definedName name="solver_rhs275" localSheetId="14" hidden="1">1</definedName>
    <definedName name="solver_rhs276" localSheetId="14" hidden="1">0</definedName>
    <definedName name="solver_rhs277" localSheetId="14" hidden="1">1</definedName>
    <definedName name="solver_rhs278" localSheetId="14" hidden="1">0</definedName>
    <definedName name="solver_rhs279" localSheetId="14" hidden="1">1</definedName>
    <definedName name="solver_rhs28" localSheetId="14" hidden="1">0</definedName>
    <definedName name="solver_rhs28" localSheetId="11" hidden="1">0</definedName>
    <definedName name="solver_rhs280" localSheetId="14" hidden="1">0</definedName>
    <definedName name="solver_rhs281" localSheetId="14" hidden="1">1</definedName>
    <definedName name="solver_rhs282" localSheetId="14" hidden="1">0</definedName>
    <definedName name="solver_rhs283" localSheetId="14" hidden="1">1</definedName>
    <definedName name="solver_rhs284" localSheetId="14" hidden="1">0</definedName>
    <definedName name="solver_rhs285" localSheetId="14" hidden="1">1</definedName>
    <definedName name="solver_rhs286" localSheetId="14" hidden="1">0</definedName>
    <definedName name="solver_rhs287" localSheetId="14" hidden="1">1</definedName>
    <definedName name="solver_rhs288" localSheetId="14" hidden="1">0</definedName>
    <definedName name="solver_rhs289" localSheetId="14" hidden="1">1</definedName>
    <definedName name="solver_rhs29" localSheetId="14" hidden="1">1</definedName>
    <definedName name="solver_rhs29" localSheetId="11" hidden="1">1</definedName>
    <definedName name="solver_rhs290" localSheetId="14" hidden="1">0</definedName>
    <definedName name="solver_rhs291" localSheetId="14" hidden="1">1</definedName>
    <definedName name="solver_rhs292" localSheetId="14" hidden="1">0</definedName>
    <definedName name="solver_rhs293" localSheetId="14" hidden="1">1</definedName>
    <definedName name="solver_rhs294" localSheetId="14" hidden="1">0</definedName>
    <definedName name="solver_rhs295" localSheetId="14" hidden="1">1</definedName>
    <definedName name="solver_rhs296" localSheetId="14" hidden="1">0</definedName>
    <definedName name="solver_rhs297" localSheetId="14" hidden="1">1</definedName>
    <definedName name="solver_rhs298" localSheetId="14" hidden="1">0</definedName>
    <definedName name="solver_rhs299" localSheetId="14" hidden="1">1</definedName>
    <definedName name="solver_rhs3" localSheetId="20" hidden="1">0</definedName>
    <definedName name="solver_rhs3" localSheetId="14" hidden="1">1</definedName>
    <definedName name="solver_rhs3" localSheetId="11" hidden="1">0</definedName>
    <definedName name="solver_rhs30" localSheetId="14" hidden="1">0</definedName>
    <definedName name="solver_rhs30" localSheetId="11" hidden="1">0</definedName>
    <definedName name="solver_rhs300" localSheetId="14" hidden="1">0</definedName>
    <definedName name="solver_rhs301" localSheetId="14" hidden="1">1</definedName>
    <definedName name="solver_rhs302" localSheetId="14" hidden="1">0</definedName>
    <definedName name="solver_rhs303" localSheetId="14" hidden="1">1</definedName>
    <definedName name="solver_rhs304" localSheetId="14" hidden="1">0</definedName>
    <definedName name="solver_rhs305" localSheetId="14" hidden="1">1</definedName>
    <definedName name="solver_rhs306" localSheetId="14" hidden="1">0</definedName>
    <definedName name="solver_rhs307" localSheetId="14" hidden="1">1</definedName>
    <definedName name="solver_rhs308" localSheetId="14" hidden="1">0</definedName>
    <definedName name="solver_rhs309" localSheetId="14" hidden="1">1</definedName>
    <definedName name="solver_rhs31" localSheetId="14" hidden="1">1</definedName>
    <definedName name="solver_rhs31" localSheetId="11" hidden="1">1</definedName>
    <definedName name="solver_rhs310" localSheetId="14" hidden="1">0</definedName>
    <definedName name="solver_rhs311" localSheetId="14" hidden="1">1</definedName>
    <definedName name="solver_rhs312" localSheetId="14" hidden="1">0</definedName>
    <definedName name="solver_rhs313" localSheetId="14" hidden="1">1</definedName>
    <definedName name="solver_rhs314" localSheetId="14" hidden="1">0</definedName>
    <definedName name="solver_rhs315" localSheetId="14" hidden="1">1</definedName>
    <definedName name="solver_rhs316" localSheetId="14" hidden="1">0</definedName>
    <definedName name="solver_rhs317" localSheetId="14" hidden="1">1</definedName>
    <definedName name="solver_rhs318" localSheetId="14" hidden="1">0</definedName>
    <definedName name="solver_rhs319" localSheetId="14" hidden="1">1</definedName>
    <definedName name="solver_rhs32" localSheetId="14" hidden="1">0</definedName>
    <definedName name="solver_rhs32" localSheetId="11" hidden="1">0</definedName>
    <definedName name="solver_rhs320" localSheetId="14" hidden="1">0</definedName>
    <definedName name="solver_rhs321" localSheetId="14" hidden="1">1</definedName>
    <definedName name="solver_rhs322" localSheetId="14" hidden="1">0</definedName>
    <definedName name="solver_rhs323" localSheetId="14" hidden="1">1</definedName>
    <definedName name="solver_rhs324" localSheetId="14" hidden="1">0</definedName>
    <definedName name="solver_rhs325" localSheetId="14" hidden="1">1</definedName>
    <definedName name="solver_rhs326" localSheetId="14" hidden="1">0</definedName>
    <definedName name="solver_rhs327" localSheetId="14" hidden="1">1</definedName>
    <definedName name="solver_rhs328" localSheetId="14" hidden="1">0</definedName>
    <definedName name="solver_rhs329" localSheetId="14" hidden="1">1</definedName>
    <definedName name="solver_rhs33" localSheetId="14" hidden="1">1</definedName>
    <definedName name="solver_rhs33" localSheetId="11" hidden="1">1</definedName>
    <definedName name="solver_rhs330" localSheetId="14" hidden="1">0</definedName>
    <definedName name="solver_rhs331" localSheetId="14" hidden="1">1</definedName>
    <definedName name="solver_rhs332" localSheetId="14" hidden="1">0</definedName>
    <definedName name="solver_rhs333" localSheetId="14" hidden="1">1</definedName>
    <definedName name="solver_rhs334" localSheetId="14" hidden="1">0</definedName>
    <definedName name="solver_rhs335" localSheetId="14" hidden="1">1</definedName>
    <definedName name="solver_rhs336" localSheetId="14" hidden="1">0</definedName>
    <definedName name="solver_rhs337" localSheetId="14" hidden="1">1</definedName>
    <definedName name="solver_rhs338" localSheetId="14" hidden="1">0</definedName>
    <definedName name="solver_rhs339" localSheetId="14" hidden="1">1</definedName>
    <definedName name="solver_rhs34" localSheetId="14" hidden="1">0</definedName>
    <definedName name="solver_rhs34" localSheetId="11" hidden="1">0</definedName>
    <definedName name="solver_rhs340" localSheetId="14" hidden="1">0</definedName>
    <definedName name="solver_rhs341" localSheetId="14" hidden="1">1</definedName>
    <definedName name="solver_rhs342" localSheetId="14" hidden="1">0</definedName>
    <definedName name="solver_rhs343" localSheetId="14" hidden="1">1</definedName>
    <definedName name="solver_rhs344" localSheetId="14" hidden="1">0</definedName>
    <definedName name="solver_rhs345" localSheetId="14" hidden="1">1</definedName>
    <definedName name="solver_rhs346" localSheetId="14" hidden="1">0</definedName>
    <definedName name="solver_rhs347" localSheetId="14" hidden="1">1</definedName>
    <definedName name="solver_rhs348" localSheetId="14" hidden="1">0</definedName>
    <definedName name="solver_rhs349" localSheetId="14" hidden="1">1</definedName>
    <definedName name="solver_rhs35" localSheetId="14" hidden="1">1</definedName>
    <definedName name="solver_rhs35" localSheetId="11" hidden="1">1</definedName>
    <definedName name="solver_rhs350" localSheetId="14" hidden="1">0</definedName>
    <definedName name="solver_rhs351" localSheetId="14" hidden="1">1</definedName>
    <definedName name="solver_rhs352" localSheetId="14" hidden="1">0</definedName>
    <definedName name="solver_rhs353" localSheetId="14" hidden="1">1</definedName>
    <definedName name="solver_rhs354" localSheetId="14" hidden="1">0</definedName>
    <definedName name="solver_rhs355" localSheetId="14" hidden="1">1</definedName>
    <definedName name="solver_rhs356" localSheetId="14" hidden="1">0</definedName>
    <definedName name="solver_rhs357" localSheetId="14" hidden="1">1</definedName>
    <definedName name="solver_rhs358" localSheetId="14" hidden="1">0</definedName>
    <definedName name="solver_rhs359" localSheetId="14" hidden="1">1</definedName>
    <definedName name="solver_rhs36" localSheetId="14" hidden="1">0</definedName>
    <definedName name="solver_rhs36" localSheetId="11" hidden="1">0</definedName>
    <definedName name="solver_rhs360" localSheetId="14" hidden="1">0</definedName>
    <definedName name="solver_rhs361" localSheetId="14" hidden="1">1</definedName>
    <definedName name="solver_rhs362" localSheetId="14" hidden="1">0</definedName>
    <definedName name="solver_rhs37" localSheetId="14" hidden="1">1</definedName>
    <definedName name="solver_rhs37" localSheetId="11" hidden="1">1</definedName>
    <definedName name="solver_rhs38" localSheetId="14" hidden="1">0</definedName>
    <definedName name="solver_rhs38" localSheetId="11" hidden="1">0</definedName>
    <definedName name="solver_rhs39" localSheetId="14" hidden="1">1</definedName>
    <definedName name="solver_rhs39" localSheetId="11" hidden="1">1</definedName>
    <definedName name="solver_rhs4" localSheetId="14" hidden="1">0</definedName>
    <definedName name="solver_rhs4" localSheetId="11" hidden="1">1</definedName>
    <definedName name="solver_rhs40" localSheetId="14" hidden="1">0</definedName>
    <definedName name="solver_rhs40" localSheetId="11" hidden="1">0</definedName>
    <definedName name="solver_rhs41" localSheetId="14" hidden="1">1</definedName>
    <definedName name="solver_rhs41" localSheetId="11" hidden="1">1</definedName>
    <definedName name="solver_rhs42" localSheetId="14" hidden="1">0</definedName>
    <definedName name="solver_rhs42" localSheetId="11" hidden="1">0</definedName>
    <definedName name="solver_rhs43" localSheetId="14" hidden="1">1</definedName>
    <definedName name="solver_rhs43" localSheetId="11" hidden="1">1</definedName>
    <definedName name="solver_rhs44" localSheetId="14" hidden="1">0</definedName>
    <definedName name="solver_rhs44" localSheetId="11" hidden="1">0</definedName>
    <definedName name="solver_rhs45" localSheetId="14" hidden="1">1</definedName>
    <definedName name="solver_rhs45" localSheetId="11" hidden="1">1</definedName>
    <definedName name="solver_rhs46" localSheetId="14" hidden="1">0</definedName>
    <definedName name="solver_rhs46" localSheetId="11" hidden="1">0</definedName>
    <definedName name="solver_rhs47" localSheetId="14" hidden="1">1</definedName>
    <definedName name="solver_rhs47" localSheetId="11" hidden="1">1</definedName>
    <definedName name="solver_rhs48" localSheetId="14" hidden="1">0</definedName>
    <definedName name="solver_rhs48" localSheetId="11" hidden="1">0</definedName>
    <definedName name="solver_rhs49" localSheetId="14" hidden="1">1</definedName>
    <definedName name="solver_rhs49" localSheetId="11" hidden="1">1</definedName>
    <definedName name="solver_rhs5" localSheetId="14" hidden="1">1</definedName>
    <definedName name="solver_rhs5" localSheetId="11" hidden="1">1</definedName>
    <definedName name="solver_rhs50" localSheetId="14" hidden="1">0</definedName>
    <definedName name="solver_rhs50" localSheetId="11" hidden="1">0</definedName>
    <definedName name="solver_rhs51" localSheetId="14" hidden="1">1</definedName>
    <definedName name="solver_rhs51" localSheetId="11" hidden="1">1</definedName>
    <definedName name="solver_rhs52" localSheetId="14" hidden="1">0</definedName>
    <definedName name="solver_rhs52" localSheetId="11" hidden="1">0</definedName>
    <definedName name="solver_rhs53" localSheetId="14" hidden="1">1</definedName>
    <definedName name="solver_rhs53" localSheetId="11" hidden="1">1</definedName>
    <definedName name="solver_rhs54" localSheetId="14" hidden="1">0</definedName>
    <definedName name="solver_rhs54" localSheetId="11" hidden="1">0</definedName>
    <definedName name="solver_rhs55" localSheetId="14" hidden="1">1</definedName>
    <definedName name="solver_rhs55" localSheetId="11" hidden="1">1</definedName>
    <definedName name="solver_rhs56" localSheetId="14" hidden="1">0</definedName>
    <definedName name="solver_rhs56" localSheetId="11" hidden="1">0</definedName>
    <definedName name="solver_rhs57" localSheetId="14" hidden="1">1</definedName>
    <definedName name="solver_rhs57" localSheetId="11" hidden="1">1</definedName>
    <definedName name="solver_rhs58" localSheetId="14" hidden="1">0</definedName>
    <definedName name="solver_rhs58" localSheetId="11" hidden="1">0</definedName>
    <definedName name="solver_rhs59" localSheetId="14" hidden="1">1</definedName>
    <definedName name="solver_rhs59" localSheetId="11" hidden="1">1</definedName>
    <definedName name="solver_rhs6" localSheetId="14" hidden="1">0</definedName>
    <definedName name="solver_rhs6" localSheetId="11" hidden="1">0</definedName>
    <definedName name="solver_rhs60" localSheetId="14" hidden="1">0</definedName>
    <definedName name="solver_rhs60" localSheetId="11" hidden="1">0</definedName>
    <definedName name="solver_rhs61" localSheetId="14" hidden="1">1</definedName>
    <definedName name="solver_rhs61" localSheetId="11" hidden="1">1</definedName>
    <definedName name="solver_rhs62" localSheetId="14" hidden="1">0</definedName>
    <definedName name="solver_rhs62" localSheetId="11" hidden="1">0</definedName>
    <definedName name="solver_rhs63" localSheetId="14" hidden="1">1</definedName>
    <definedName name="solver_rhs63" localSheetId="11" hidden="1">1</definedName>
    <definedName name="solver_rhs64" localSheetId="14" hidden="1">0</definedName>
    <definedName name="solver_rhs64" localSheetId="11" hidden="1">0</definedName>
    <definedName name="solver_rhs65" localSheetId="14" hidden="1">1</definedName>
    <definedName name="solver_rhs65" localSheetId="11" hidden="1">1</definedName>
    <definedName name="solver_rhs66" localSheetId="14" hidden="1">0</definedName>
    <definedName name="solver_rhs66" localSheetId="11" hidden="1">0</definedName>
    <definedName name="solver_rhs67" localSheetId="14" hidden="1">1</definedName>
    <definedName name="solver_rhs67" localSheetId="11" hidden="1">1</definedName>
    <definedName name="solver_rhs68" localSheetId="14" hidden="1">0</definedName>
    <definedName name="solver_rhs68" localSheetId="11" hidden="1">0</definedName>
    <definedName name="solver_rhs69" localSheetId="14" hidden="1">1</definedName>
    <definedName name="solver_rhs69" localSheetId="11" hidden="1">1</definedName>
    <definedName name="solver_rhs7" localSheetId="14" hidden="1">1</definedName>
    <definedName name="solver_rhs7" localSheetId="11" hidden="1">1</definedName>
    <definedName name="solver_rhs70" localSheetId="14" hidden="1">0</definedName>
    <definedName name="solver_rhs70" localSheetId="11" hidden="1">0</definedName>
    <definedName name="solver_rhs71" localSheetId="14" hidden="1">1</definedName>
    <definedName name="solver_rhs71" localSheetId="11" hidden="1">1</definedName>
    <definedName name="solver_rhs72" localSheetId="14" hidden="1">0</definedName>
    <definedName name="solver_rhs72" localSheetId="11" hidden="1">0</definedName>
    <definedName name="solver_rhs73" localSheetId="14" hidden="1">1</definedName>
    <definedName name="solver_rhs73" localSheetId="11" hidden="1">1</definedName>
    <definedName name="solver_rhs74" localSheetId="14" hidden="1">0</definedName>
    <definedName name="solver_rhs74" localSheetId="11" hidden="1">0</definedName>
    <definedName name="solver_rhs75" localSheetId="14" hidden="1">1</definedName>
    <definedName name="solver_rhs75" localSheetId="11" hidden="1">1</definedName>
    <definedName name="solver_rhs76" localSheetId="14" hidden="1">0</definedName>
    <definedName name="solver_rhs76" localSheetId="11" hidden="1">0</definedName>
    <definedName name="solver_rhs77" localSheetId="14" hidden="1">1</definedName>
    <definedName name="solver_rhs77" localSheetId="11" hidden="1">1</definedName>
    <definedName name="solver_rhs78" localSheetId="14" hidden="1">0</definedName>
    <definedName name="solver_rhs78" localSheetId="11" hidden="1">0</definedName>
    <definedName name="solver_rhs79" localSheetId="14" hidden="1">1</definedName>
    <definedName name="solver_rhs79" localSheetId="11" hidden="1">1</definedName>
    <definedName name="solver_rhs8" localSheetId="14" hidden="1">0</definedName>
    <definedName name="solver_rhs8" localSheetId="11" hidden="1">0</definedName>
    <definedName name="solver_rhs80" localSheetId="14" hidden="1">0</definedName>
    <definedName name="solver_rhs80" localSheetId="11" hidden="1">0</definedName>
    <definedName name="solver_rhs81" localSheetId="14" hidden="1">1</definedName>
    <definedName name="solver_rhs81" localSheetId="11" hidden="1">1</definedName>
    <definedName name="solver_rhs82" localSheetId="14" hidden="1">0</definedName>
    <definedName name="solver_rhs82" localSheetId="11" hidden="1">0</definedName>
    <definedName name="solver_rhs83" localSheetId="14" hidden="1">1</definedName>
    <definedName name="solver_rhs83" localSheetId="11" hidden="1">1</definedName>
    <definedName name="solver_rhs84" localSheetId="14" hidden="1">0</definedName>
    <definedName name="solver_rhs84" localSheetId="11" hidden="1">0</definedName>
    <definedName name="solver_rhs85" localSheetId="14" hidden="1">1</definedName>
    <definedName name="solver_rhs85" localSheetId="11" hidden="1">1</definedName>
    <definedName name="solver_rhs86" localSheetId="14" hidden="1">0</definedName>
    <definedName name="solver_rhs86" localSheetId="11" hidden="1">0</definedName>
    <definedName name="solver_rhs87" localSheetId="14" hidden="1">1</definedName>
    <definedName name="solver_rhs87" localSheetId="11" hidden="1">1</definedName>
    <definedName name="solver_rhs88" localSheetId="14" hidden="1">0</definedName>
    <definedName name="solver_rhs88" localSheetId="11" hidden="1">0</definedName>
    <definedName name="solver_rhs89" localSheetId="14" hidden="1">1</definedName>
    <definedName name="solver_rhs89" localSheetId="11" hidden="1">1</definedName>
    <definedName name="solver_rhs9" localSheetId="14" hidden="1">1</definedName>
    <definedName name="solver_rhs9" localSheetId="11" hidden="1">1</definedName>
    <definedName name="solver_rhs90" localSheetId="14" hidden="1">0</definedName>
    <definedName name="solver_rhs90" localSheetId="11" hidden="1">0</definedName>
    <definedName name="solver_rhs91" localSheetId="14" hidden="1">1</definedName>
    <definedName name="solver_rhs91" localSheetId="11" hidden="1">1</definedName>
    <definedName name="solver_rhs92" localSheetId="14" hidden="1">0</definedName>
    <definedName name="solver_rhs92" localSheetId="11" hidden="1">0</definedName>
    <definedName name="solver_rhs93" localSheetId="14" hidden="1">1</definedName>
    <definedName name="solver_rhs93" localSheetId="11" hidden="1">1</definedName>
    <definedName name="solver_rhs94" localSheetId="14" hidden="1">0</definedName>
    <definedName name="solver_rhs94" localSheetId="11" hidden="1">0</definedName>
    <definedName name="solver_rhs95" localSheetId="14" hidden="1">1</definedName>
    <definedName name="solver_rhs95" localSheetId="11" hidden="1">1</definedName>
    <definedName name="solver_rhs96" localSheetId="14" hidden="1">0</definedName>
    <definedName name="solver_rhs96" localSheetId="11" hidden="1">0</definedName>
    <definedName name="solver_rhs97" localSheetId="14" hidden="1">1</definedName>
    <definedName name="solver_rhs97" localSheetId="11" hidden="1">1</definedName>
    <definedName name="solver_rhs98" localSheetId="14" hidden="1">0</definedName>
    <definedName name="solver_rhs98" localSheetId="11" hidden="1">0</definedName>
    <definedName name="solver_rhs99" localSheetId="14" hidden="1">1</definedName>
    <definedName name="solver_rhs99" localSheetId="11" hidden="1">1</definedName>
    <definedName name="solver_rlx" localSheetId="20" hidden="1">2</definedName>
    <definedName name="solver_rlx" localSheetId="14" hidden="1">2</definedName>
    <definedName name="solver_rlx" localSheetId="11" hidden="1">2</definedName>
    <definedName name="solver_rlx" localSheetId="9" hidden="1">2</definedName>
    <definedName name="solver_rsd" localSheetId="20" hidden="1">0</definedName>
    <definedName name="solver_rsd" localSheetId="14" hidden="1">0</definedName>
    <definedName name="solver_rsd" localSheetId="11" hidden="1">0</definedName>
    <definedName name="solver_rsd" localSheetId="9" hidden="1">0</definedName>
    <definedName name="solver_scl" localSheetId="20" hidden="1">2</definedName>
    <definedName name="solver_scl" localSheetId="14" hidden="1">2</definedName>
    <definedName name="solver_scl" localSheetId="11" hidden="1">1</definedName>
    <definedName name="solver_scl" localSheetId="9" hidden="1">1</definedName>
    <definedName name="solver_sho" localSheetId="20" hidden="1">2</definedName>
    <definedName name="solver_sho" localSheetId="14" hidden="1">2</definedName>
    <definedName name="solver_sho" localSheetId="11" hidden="1">2</definedName>
    <definedName name="solver_sho" localSheetId="9" hidden="1">2</definedName>
    <definedName name="solver_ssz" localSheetId="20" hidden="1">100</definedName>
    <definedName name="solver_ssz" localSheetId="14" hidden="1">100</definedName>
    <definedName name="solver_ssz" localSheetId="11" hidden="1">100</definedName>
    <definedName name="solver_ssz" localSheetId="9" hidden="1">100</definedName>
    <definedName name="solver_tim" localSheetId="20" hidden="1">2147483647</definedName>
    <definedName name="solver_tim" localSheetId="14" hidden="1">2147483647</definedName>
    <definedName name="solver_tim" localSheetId="11" hidden="1">2147483647</definedName>
    <definedName name="solver_tim" localSheetId="9" hidden="1">2147483647</definedName>
    <definedName name="solver_tol" localSheetId="20" hidden="1">0.01</definedName>
    <definedName name="solver_tol" localSheetId="14" hidden="1">0.01</definedName>
    <definedName name="solver_tol" localSheetId="11" hidden="1">0.01</definedName>
    <definedName name="solver_tol" localSheetId="9" hidden="1">0.01</definedName>
    <definedName name="solver_typ" localSheetId="20" hidden="1">3</definedName>
    <definedName name="solver_typ" localSheetId="14" hidden="1">3</definedName>
    <definedName name="solver_typ" localSheetId="11" hidden="1">3</definedName>
    <definedName name="solver_typ" localSheetId="9" hidden="1">1</definedName>
    <definedName name="solver_val" localSheetId="20" hidden="1">0</definedName>
    <definedName name="solver_val" localSheetId="14" hidden="1">0</definedName>
    <definedName name="solver_val" localSheetId="11" hidden="1">0</definedName>
    <definedName name="solver_val" localSheetId="9" hidden="1">0</definedName>
    <definedName name="solver_ver" localSheetId="20" hidden="1">3</definedName>
    <definedName name="solver_ver" localSheetId="14" hidden="1">3</definedName>
    <definedName name="solver_ver" localSheetId="11" hidden="1">3</definedName>
    <definedName name="solver_ver" localSheetId="9" hidden="1">3</definedName>
  </definedNames>
  <calcPr calcId="181029"/>
  <extLst>
    <ext xmlns:x14="http://schemas.microsoft.com/office/spreadsheetml/2009/9/main" uri="{8193D73E-4604-4355-AFF4-8A2333D13BE4}">
      <x14:definedNames>
        <x14:definedName name="ablationNuke">
          <x14:argumentDescriptions count="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s>
        </x14:definedName>
        <x14:definedName name="kinetic_ciws">
          <x14:argumentDescriptions count="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s>
        </x14:definedName>
        <x14:definedName name="solve_for_mach">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olve_for_mach_bisect">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solve_for_t">
          <x14:argumentDescriptions count="1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s>
        </x14:definedName>
        <x14:definedName name="solve_for_t_bisect">
          <x14:argumentDescriptions count="1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3" i="16" l="1"/>
  <c r="G10" i="34" l="1"/>
  <c r="H7" i="34"/>
  <c r="J7" i="34" s="1"/>
  <c r="J6" i="34"/>
  <c r="G15" i="34" s="1"/>
  <c r="C15" i="34"/>
  <c r="G16" i="34" l="1"/>
  <c r="G21" i="34" s="1"/>
  <c r="C19" i="34"/>
  <c r="C21" i="34"/>
  <c r="C29" i="34"/>
  <c r="C13" i="34"/>
  <c r="C25" i="34" l="1"/>
  <c r="M5" i="34"/>
  <c r="K9" i="34"/>
  <c r="M9" i="34"/>
  <c r="C10" i="34"/>
  <c r="C6" i="34"/>
  <c r="I86" i="6" l="1"/>
  <c r="K16" i="34" l="1"/>
  <c r="G25" i="34"/>
  <c r="T2" i="34" s="1"/>
  <c r="Q23" i="33"/>
  <c r="Q22" i="33"/>
  <c r="S9" i="34" l="1"/>
  <c r="T9" i="34" s="1"/>
  <c r="N13" i="34"/>
  <c r="H29" i="34"/>
  <c r="H31" i="34"/>
  <c r="G19" i="34"/>
  <c r="P16" i="34" s="1"/>
  <c r="I21" i="33"/>
  <c r="M19" i="33" s="1"/>
  <c r="U9" i="34" l="1"/>
  <c r="S10" i="34"/>
  <c r="T10" i="34" s="1"/>
  <c r="G26" i="34"/>
  <c r="Q20" i="33"/>
  <c r="M18" i="33"/>
  <c r="S11" i="34" l="1"/>
  <c r="T11" i="34" s="1"/>
  <c r="U10" i="34"/>
  <c r="I20" i="33"/>
  <c r="Y7" i="33"/>
  <c r="AA7" i="33" s="1"/>
  <c r="Y8" i="33"/>
  <c r="AA8" i="33" s="1"/>
  <c r="Y9" i="33"/>
  <c r="AA9" i="33" s="1"/>
  <c r="S12" i="34" l="1"/>
  <c r="T12" i="34" s="1"/>
  <c r="U11" i="34"/>
  <c r="D6" i="33"/>
  <c r="M17" i="33"/>
  <c r="I22" i="33"/>
  <c r="D18" i="33"/>
  <c r="Y6" i="33"/>
  <c r="AA6" i="33" s="1"/>
  <c r="Y5" i="33"/>
  <c r="AA5" i="33" s="1"/>
  <c r="Y4" i="33"/>
  <c r="Q21" i="33" s="1"/>
  <c r="S13" i="34" l="1"/>
  <c r="T13" i="34" s="1"/>
  <c r="U12" i="34"/>
  <c r="AA4" i="33"/>
  <c r="D22" i="33"/>
  <c r="B6" i="33" s="1"/>
  <c r="G22" i="33"/>
  <c r="I23" i="33" s="1"/>
  <c r="K14" i="8"/>
  <c r="S14" i="34" l="1"/>
  <c r="T14" i="34" s="1"/>
  <c r="U13" i="34"/>
  <c r="I24" i="33"/>
  <c r="D24" i="33" s="1"/>
  <c r="D26" i="33" s="1"/>
  <c r="F27" i="32"/>
  <c r="D28" i="32" s="1"/>
  <c r="F28" i="32" s="1"/>
  <c r="U14" i="34" l="1"/>
  <c r="S15" i="34"/>
  <c r="T15" i="34" s="1"/>
  <c r="D29" i="32"/>
  <c r="G7" i="32"/>
  <c r="S16" i="34" l="1"/>
  <c r="T16" i="34" s="1"/>
  <c r="U15" i="34"/>
  <c r="L20" i="32"/>
  <c r="S17" i="34" l="1"/>
  <c r="T17" i="34" s="1"/>
  <c r="U16" i="34"/>
  <c r="L24" i="32"/>
  <c r="P6" i="32" s="1"/>
  <c r="N8" i="32"/>
  <c r="G10" i="32"/>
  <c r="S18" i="34" l="1"/>
  <c r="T18" i="34" s="1"/>
  <c r="U17" i="34"/>
  <c r="L28" i="32"/>
  <c r="D19" i="32"/>
  <c r="J12" i="32"/>
  <c r="L18" i="32" s="1"/>
  <c r="G21" i="32" s="1"/>
  <c r="L11" i="32"/>
  <c r="S19" i="34" l="1"/>
  <c r="T19" i="34" s="1"/>
  <c r="U18" i="34"/>
  <c r="R16" i="32"/>
  <c r="L31" i="32"/>
  <c r="L8" i="32"/>
  <c r="U19" i="34" l="1"/>
  <c r="S20" i="34"/>
  <c r="T20" i="34" s="1"/>
  <c r="J8" i="32"/>
  <c r="N9" i="32"/>
  <c r="L7" i="32"/>
  <c r="G14" i="32"/>
  <c r="D17" i="32" s="1"/>
  <c r="E14" i="32"/>
  <c r="R10" i="32"/>
  <c r="S21" i="34" l="1"/>
  <c r="T21" i="34" s="1"/>
  <c r="U20" i="34"/>
  <c r="L21" i="32"/>
  <c r="L25" i="32"/>
  <c r="L29" i="32"/>
  <c r="J22" i="8"/>
  <c r="U21" i="34" l="1"/>
  <c r="S22" i="34"/>
  <c r="T22" i="34" s="1"/>
  <c r="R17" i="32"/>
  <c r="R11" i="32"/>
  <c r="R12" i="32"/>
  <c r="P7" i="32"/>
  <c r="D62" i="24"/>
  <c r="D47" i="27"/>
  <c r="D96" i="6"/>
  <c r="B96" i="6" s="1"/>
  <c r="U22" i="34" l="1"/>
  <c r="S23" i="34"/>
  <c r="T23" i="34" s="1"/>
  <c r="R22" i="32"/>
  <c r="R21" i="32" s="1"/>
  <c r="R25" i="32"/>
  <c r="I61" i="24"/>
  <c r="D73" i="24"/>
  <c r="D70" i="24"/>
  <c r="D64" i="24"/>
  <c r="R26" i="32" l="1"/>
  <c r="R29" i="32"/>
  <c r="R30" i="32" s="1"/>
  <c r="U23" i="34"/>
  <c r="S24" i="34"/>
  <c r="T24" i="34" s="1"/>
  <c r="D78" i="24"/>
  <c r="I65" i="24" s="1"/>
  <c r="D71" i="24"/>
  <c r="U24" i="34" l="1"/>
  <c r="S25" i="34"/>
  <c r="T25" i="34" s="1"/>
  <c r="I66" i="24"/>
  <c r="V36" i="30"/>
  <c r="Z26" i="30"/>
  <c r="Z32" i="30"/>
  <c r="U30" i="30"/>
  <c r="I11" i="30"/>
  <c r="I12" i="30"/>
  <c r="U25" i="34" l="1"/>
  <c r="S26" i="34"/>
  <c r="T26" i="34" s="1"/>
  <c r="I13" i="30"/>
  <c r="I6" i="30"/>
  <c r="D28" i="29"/>
  <c r="G5" i="30"/>
  <c r="U26" i="34" l="1"/>
  <c r="S27" i="34"/>
  <c r="T27" i="34" s="1"/>
  <c r="Z15" i="30"/>
  <c r="Z7" i="30"/>
  <c r="BS14" i="30"/>
  <c r="BS17" i="30" s="1"/>
  <c r="CA14" i="30"/>
  <c r="BV23" i="30" s="1"/>
  <c r="BW14" i="30"/>
  <c r="BV19" i="30"/>
  <c r="BL19" i="30"/>
  <c r="BR15" i="30"/>
  <c r="BU14" i="30"/>
  <c r="BU15" i="30" s="1"/>
  <c r="AV14" i="30"/>
  <c r="AT9" i="30"/>
  <c r="AT10" i="30" s="1"/>
  <c r="AZ9" i="30"/>
  <c r="AQ10" i="30"/>
  <c r="AR9" i="30"/>
  <c r="AR12" i="30" s="1"/>
  <c r="AV9" i="30"/>
  <c r="E12" i="30"/>
  <c r="G20" i="30" s="1"/>
  <c r="G16" i="30" s="1"/>
  <c r="BJ24" i="30"/>
  <c r="BS10" i="30"/>
  <c r="BS11" i="30"/>
  <c r="BJ22" i="30" s="1"/>
  <c r="BP17" i="30"/>
  <c r="BM24" i="30"/>
  <c r="BM23" i="30"/>
  <c r="BL17" i="30"/>
  <c r="AM19" i="30"/>
  <c r="AM18" i="30"/>
  <c r="U27" i="34" l="1"/>
  <c r="S28" i="34"/>
  <c r="T28" i="34" s="1"/>
  <c r="BQ21" i="30"/>
  <c r="BQ23" i="30" s="1"/>
  <c r="CA15" i="30"/>
  <c r="BM26" i="30"/>
  <c r="AZ10" i="30"/>
  <c r="BM22" i="30"/>
  <c r="BM25" i="30"/>
  <c r="AW18" i="30"/>
  <c r="AN12" i="30"/>
  <c r="AR16" i="30" s="1"/>
  <c r="AN14" i="30"/>
  <c r="U28" i="34" l="1"/>
  <c r="S29" i="34"/>
  <c r="T29" i="34" s="1"/>
  <c r="BX12" i="30"/>
  <c r="BJ23" i="30" s="1"/>
  <c r="BJ26" i="30" s="1"/>
  <c r="AM21" i="30"/>
  <c r="AM20" i="30"/>
  <c r="AM17" i="30"/>
  <c r="BQ25" i="30"/>
  <c r="BW25" i="30"/>
  <c r="AR18" i="30"/>
  <c r="AX20" i="30" s="1"/>
  <c r="E11" i="30"/>
  <c r="I10" i="30"/>
  <c r="U29" i="34" l="1"/>
  <c r="S30" i="34"/>
  <c r="T30" i="34" s="1"/>
  <c r="BV21" i="30"/>
  <c r="BV25" i="30"/>
  <c r="AR20" i="30"/>
  <c r="AW20" i="30" s="1"/>
  <c r="M46" i="27"/>
  <c r="N46" i="27" s="1"/>
  <c r="I45" i="27"/>
  <c r="M47" i="27"/>
  <c r="N47" i="27" s="1"/>
  <c r="M48" i="27"/>
  <c r="N48" i="27" s="1"/>
  <c r="M49" i="27"/>
  <c r="N49" i="27" s="1"/>
  <c r="M50" i="27"/>
  <c r="N50" i="27" s="1"/>
  <c r="M51" i="27"/>
  <c r="N51" i="27" s="1"/>
  <c r="M52" i="27"/>
  <c r="N52" i="27" s="1"/>
  <c r="M53" i="27"/>
  <c r="N53" i="27" s="1"/>
  <c r="M54" i="27"/>
  <c r="N54" i="27" s="1"/>
  <c r="M55" i="27"/>
  <c r="N55" i="27" s="1"/>
  <c r="M56" i="27"/>
  <c r="N56" i="27" s="1"/>
  <c r="M57" i="27"/>
  <c r="N57" i="27" s="1"/>
  <c r="M58" i="27"/>
  <c r="N58" i="27" s="1"/>
  <c r="M59" i="27"/>
  <c r="N59" i="27" s="1"/>
  <c r="M60" i="27"/>
  <c r="N60" i="27" s="1"/>
  <c r="M61" i="27"/>
  <c r="N61" i="27" s="1"/>
  <c r="M62" i="27"/>
  <c r="N62" i="27" s="1"/>
  <c r="M63" i="27"/>
  <c r="N63" i="27" s="1"/>
  <c r="M64" i="27"/>
  <c r="N64" i="27" s="1"/>
  <c r="M65" i="27"/>
  <c r="N65" i="27" s="1"/>
  <c r="M66" i="27"/>
  <c r="N66" i="27" s="1"/>
  <c r="M67" i="27"/>
  <c r="N67" i="27" s="1"/>
  <c r="M68" i="27"/>
  <c r="N68" i="27" s="1"/>
  <c r="M69" i="27"/>
  <c r="N69" i="27" s="1"/>
  <c r="M70" i="27"/>
  <c r="N70" i="27" s="1"/>
  <c r="O42" i="27"/>
  <c r="E55" i="27"/>
  <c r="AD14" i="30"/>
  <c r="AD16" i="30" s="1"/>
  <c r="U40" i="30" s="1"/>
  <c r="S40" i="30" s="1"/>
  <c r="U30" i="34" l="1"/>
  <c r="S31" i="34"/>
  <c r="T31" i="34" s="1"/>
  <c r="I46" i="27"/>
  <c r="I52" i="27"/>
  <c r="I49" i="27"/>
  <c r="I48" i="27"/>
  <c r="AW16" i="30"/>
  <c r="AD8" i="30"/>
  <c r="AD6" i="30" s="1"/>
  <c r="U39" i="30" s="1"/>
  <c r="S32" i="34" l="1"/>
  <c r="T32" i="34" s="1"/>
  <c r="U31" i="34"/>
  <c r="V39" i="30"/>
  <c r="S39" i="30"/>
  <c r="I51" i="27"/>
  <c r="X8" i="30"/>
  <c r="X14" i="30"/>
  <c r="T15" i="30"/>
  <c r="T14" i="30" s="1"/>
  <c r="T7" i="30"/>
  <c r="S6" i="30"/>
  <c r="S16" i="30"/>
  <c r="H14" i="29"/>
  <c r="G71" i="16"/>
  <c r="D72" i="16"/>
  <c r="D71" i="16"/>
  <c r="S33" i="34" l="1"/>
  <c r="T33" i="34" s="1"/>
  <c r="U32" i="34"/>
  <c r="AB11" i="30"/>
  <c r="U32" i="30" s="1"/>
  <c r="G72" i="16"/>
  <c r="T8" i="30"/>
  <c r="O17" i="30" s="1"/>
  <c r="R20" i="30" s="1"/>
  <c r="Z24" i="30" s="1"/>
  <c r="U24" i="30" s="1"/>
  <c r="AD15" i="30"/>
  <c r="Z17" i="30"/>
  <c r="AD7" i="30"/>
  <c r="Z5" i="30"/>
  <c r="D15" i="22"/>
  <c r="O31" i="22"/>
  <c r="J25" i="22"/>
  <c r="J26" i="22" s="1"/>
  <c r="J21" i="22"/>
  <c r="D21" i="22"/>
  <c r="J22" i="22"/>
  <c r="I24" i="22" s="1"/>
  <c r="U33" i="34" l="1"/>
  <c r="U26" i="30"/>
  <c r="Z30" i="30" s="1"/>
  <c r="Z37" i="30" s="1"/>
  <c r="T42" i="30"/>
  <c r="T43" i="30"/>
  <c r="O18" i="30"/>
  <c r="O15" i="30" s="1"/>
  <c r="Z6" i="30"/>
  <c r="AD2" i="30"/>
  <c r="AD3" i="30"/>
  <c r="AD19" i="30"/>
  <c r="AD20" i="30"/>
  <c r="Z16" i="30"/>
  <c r="D22" i="22"/>
  <c r="P23" i="29"/>
  <c r="D23" i="29"/>
  <c r="P18" i="29" s="1"/>
  <c r="I23" i="29"/>
  <c r="M24" i="29" s="1"/>
  <c r="D14" i="29"/>
  <c r="Z31" i="30" l="1"/>
  <c r="Z38" i="30" s="1"/>
  <c r="M10" i="29"/>
  <c r="M9" i="29"/>
  <c r="M8" i="29"/>
  <c r="M6" i="29"/>
  <c r="M5" i="29"/>
  <c r="M4" i="29"/>
  <c r="L5" i="29"/>
  <c r="L9" i="29"/>
  <c r="L8" i="29"/>
  <c r="L6" i="29"/>
  <c r="L4" i="29"/>
  <c r="K9" i="29"/>
  <c r="K8" i="29"/>
  <c r="K6" i="29"/>
  <c r="K5" i="29"/>
  <c r="K4" i="29"/>
  <c r="I10" i="29"/>
  <c r="I9" i="29"/>
  <c r="I8" i="29"/>
  <c r="I6" i="29"/>
  <c r="I5" i="29"/>
  <c r="I4" i="29"/>
  <c r="I18" i="29"/>
  <c r="H27" i="29" s="1"/>
  <c r="I24" i="29" s="1"/>
  <c r="J31" i="29" s="1"/>
  <c r="D10" i="29"/>
  <c r="P6" i="29" s="1"/>
  <c r="I7" i="29"/>
  <c r="D5" i="29"/>
  <c r="D9" i="29"/>
  <c r="K11" i="29" l="1"/>
  <c r="M28" i="29" s="1"/>
  <c r="Z36" i="30"/>
  <c r="Z35" i="30"/>
  <c r="Z33" i="30"/>
  <c r="Z39" i="30" s="1"/>
  <c r="M25" i="29"/>
  <c r="I25" i="29"/>
  <c r="M23" i="29" s="1"/>
  <c r="M11" i="29"/>
  <c r="I19" i="29"/>
  <c r="I20" i="29" s="1"/>
  <c r="M18" i="29" s="1"/>
  <c r="M20" i="29"/>
  <c r="M19" i="29"/>
  <c r="L11" i="29"/>
  <c r="P7" i="29"/>
  <c r="P5" i="29"/>
  <c r="P3" i="29"/>
  <c r="P4" i="29"/>
  <c r="I11" i="29"/>
  <c r="J8" i="29"/>
  <c r="J9" i="29"/>
  <c r="D19" i="27"/>
  <c r="M29" i="29" l="1"/>
  <c r="N13" i="29"/>
  <c r="P13" i="29" s="1"/>
  <c r="P8" i="29"/>
  <c r="J11" i="29"/>
  <c r="O5" i="27"/>
  <c r="M27" i="29" l="1"/>
  <c r="P28" i="29" s="1"/>
  <c r="I32" i="27"/>
  <c r="I33" i="27" s="1"/>
  <c r="I29" i="27"/>
  <c r="B14" i="27"/>
  <c r="I10" i="27"/>
  <c r="I11" i="27" s="1"/>
  <c r="P30" i="29" l="1"/>
  <c r="P27" i="29"/>
  <c r="P29" i="29"/>
  <c r="D33" i="25"/>
  <c r="D30" i="25" l="1"/>
  <c r="D9" i="27" l="1"/>
  <c r="I12" i="27" s="1"/>
  <c r="I13" i="27" s="1"/>
  <c r="D17" i="27" l="1"/>
  <c r="D13" i="27"/>
  <c r="D11" i="27"/>
  <c r="D33" i="27"/>
  <c r="E3" i="19"/>
  <c r="E4" i="19"/>
  <c r="E5" i="19"/>
  <c r="E6" i="19"/>
  <c r="E7" i="19"/>
  <c r="E8" i="19"/>
  <c r="E9" i="19"/>
  <c r="E10" i="19"/>
  <c r="E11" i="19"/>
  <c r="E12" i="19"/>
  <c r="E13" i="19"/>
  <c r="E14" i="19"/>
  <c r="E15" i="19"/>
  <c r="E16" i="19"/>
  <c r="E17" i="19"/>
  <c r="E32" i="27"/>
  <c r="I9" i="27"/>
  <c r="I23" i="27"/>
  <c r="I24" i="27" s="1"/>
  <c r="I30" i="27"/>
  <c r="I15" i="27" l="1"/>
  <c r="I26" i="27"/>
  <c r="C23" i="27"/>
  <c r="E23" i="27" s="1"/>
  <c r="N17" i="25"/>
  <c r="I27" i="27" l="1"/>
  <c r="C24" i="27"/>
  <c r="D15" i="25"/>
  <c r="H9" i="25" s="1"/>
  <c r="D13" i="25"/>
  <c r="H11" i="25"/>
  <c r="D18" i="25"/>
  <c r="D27" i="27" l="1"/>
  <c r="E24" i="27"/>
  <c r="B6" i="25"/>
  <c r="I17" i="27" l="1"/>
  <c r="I20" i="27"/>
  <c r="I21" i="27" s="1"/>
  <c r="B9" i="25"/>
  <c r="N9" i="25" s="1"/>
  <c r="N6" i="25"/>
  <c r="N7" i="25" l="1"/>
  <c r="N33" i="25" s="1"/>
  <c r="N11" i="27"/>
  <c r="P11" i="27" s="1"/>
  <c r="R11" i="27" s="1"/>
  <c r="T11" i="27" s="1"/>
  <c r="N12" i="27"/>
  <c r="O12" i="27" s="1"/>
  <c r="N20" i="27"/>
  <c r="O20" i="27" s="1"/>
  <c r="N28" i="27"/>
  <c r="O28" i="27" s="1"/>
  <c r="N13" i="27"/>
  <c r="O13" i="27" s="1"/>
  <c r="N21" i="27"/>
  <c r="O21" i="27" s="1"/>
  <c r="N29" i="27"/>
  <c r="O29" i="27" s="1"/>
  <c r="N31" i="27"/>
  <c r="P31" i="27" s="1"/>
  <c r="N24" i="27"/>
  <c r="P24" i="27" s="1"/>
  <c r="N25" i="27"/>
  <c r="P25" i="27" s="1"/>
  <c r="N18" i="27"/>
  <c r="O18" i="27" s="1"/>
  <c r="N27" i="27"/>
  <c r="O27" i="27" s="1"/>
  <c r="N14" i="27"/>
  <c r="P14" i="27" s="1"/>
  <c r="R14" i="27" s="1"/>
  <c r="T14" i="27" s="1"/>
  <c r="N22" i="27"/>
  <c r="O22" i="27" s="1"/>
  <c r="N30" i="27"/>
  <c r="P30" i="27" s="1"/>
  <c r="N9" i="27"/>
  <c r="P9" i="27" s="1"/>
  <c r="R9" i="27" s="1"/>
  <c r="N15" i="27"/>
  <c r="O15" i="27" s="1"/>
  <c r="N23" i="27"/>
  <c r="P23" i="27" s="1"/>
  <c r="N16" i="27"/>
  <c r="O16" i="27" s="1"/>
  <c r="N32" i="27"/>
  <c r="P32" i="27" s="1"/>
  <c r="N17" i="27"/>
  <c r="P17" i="27" s="1"/>
  <c r="R17" i="27" s="1"/>
  <c r="T17" i="27" s="1"/>
  <c r="N33" i="27"/>
  <c r="P33" i="27" s="1"/>
  <c r="N10" i="27"/>
  <c r="P10" i="27" s="1"/>
  <c r="R10" i="27" s="1"/>
  <c r="T10" i="27" s="1"/>
  <c r="N26" i="27"/>
  <c r="P26" i="27" s="1"/>
  <c r="N19" i="27"/>
  <c r="O19" i="27" s="1"/>
  <c r="P12" i="27"/>
  <c r="R12" i="27" s="1"/>
  <c r="T12" i="27" s="1"/>
  <c r="I18" i="27"/>
  <c r="N10" i="25"/>
  <c r="D26" i="25"/>
  <c r="I14" i="25" s="1"/>
  <c r="H10" i="25" s="1"/>
  <c r="D25" i="25"/>
  <c r="D12" i="25"/>
  <c r="N29" i="25" l="1"/>
  <c r="B12" i="25"/>
  <c r="N34" i="25"/>
  <c r="O14" i="27"/>
  <c r="O10" i="27"/>
  <c r="O33" i="27"/>
  <c r="O25" i="27"/>
  <c r="O17" i="27"/>
  <c r="O31" i="27"/>
  <c r="O24" i="27"/>
  <c r="O26" i="27"/>
  <c r="O9" i="27"/>
  <c r="O11" i="27"/>
  <c r="P22" i="27"/>
  <c r="R22" i="27" s="1"/>
  <c r="T22" i="27" s="1"/>
  <c r="P20" i="27"/>
  <c r="Q20" i="27" s="1"/>
  <c r="S20" i="27" s="1"/>
  <c r="O30" i="27"/>
  <c r="P16" i="27"/>
  <c r="R16" i="27" s="1"/>
  <c r="T16" i="27" s="1"/>
  <c r="P18" i="27"/>
  <c r="R18" i="27" s="1"/>
  <c r="T18" i="27" s="1"/>
  <c r="P29" i="27"/>
  <c r="R29" i="27" s="1"/>
  <c r="T29" i="27" s="1"/>
  <c r="P13" i="27"/>
  <c r="R13" i="27" s="1"/>
  <c r="T13" i="27" s="1"/>
  <c r="P27" i="27"/>
  <c r="R27" i="27" s="1"/>
  <c r="T27" i="27" s="1"/>
  <c r="P19" i="27"/>
  <c r="R19" i="27" s="1"/>
  <c r="T19" i="27" s="1"/>
  <c r="O23" i="27"/>
  <c r="O32" i="27"/>
  <c r="P15" i="27"/>
  <c r="R15" i="27" s="1"/>
  <c r="T15" i="27" s="1"/>
  <c r="P28" i="27"/>
  <c r="R28" i="27" s="1"/>
  <c r="T28" i="27" s="1"/>
  <c r="P21" i="27"/>
  <c r="Q21" i="27" s="1"/>
  <c r="S21" i="27" s="1"/>
  <c r="Q30" i="27"/>
  <c r="S30" i="27" s="1"/>
  <c r="R30" i="27"/>
  <c r="T30" i="27" s="1"/>
  <c r="Q33" i="27"/>
  <c r="S33" i="27" s="1"/>
  <c r="R33" i="27"/>
  <c r="T33" i="27" s="1"/>
  <c r="Q32" i="27"/>
  <c r="S32" i="27" s="1"/>
  <c r="R32" i="27"/>
  <c r="T32" i="27" s="1"/>
  <c r="M14" i="27"/>
  <c r="M32" i="27"/>
  <c r="U32" i="27" s="1"/>
  <c r="M30" i="27"/>
  <c r="U30" i="27" s="1"/>
  <c r="M33" i="27"/>
  <c r="M31" i="27"/>
  <c r="U31" i="27" s="1"/>
  <c r="Q31" i="27"/>
  <c r="S31" i="27" s="1"/>
  <c r="R31" i="27"/>
  <c r="T31" i="27" s="1"/>
  <c r="M25" i="27"/>
  <c r="M17" i="27"/>
  <c r="M24" i="27"/>
  <c r="M28" i="27"/>
  <c r="M27" i="27"/>
  <c r="M12" i="27"/>
  <c r="M9" i="27"/>
  <c r="U9" i="27" s="1"/>
  <c r="M19" i="27"/>
  <c r="M26" i="27"/>
  <c r="M15" i="27"/>
  <c r="M29" i="27"/>
  <c r="M20" i="27"/>
  <c r="M16" i="27"/>
  <c r="M11" i="27"/>
  <c r="M18" i="27"/>
  <c r="M21" i="27"/>
  <c r="M23" i="27"/>
  <c r="M10" i="27"/>
  <c r="M22" i="27"/>
  <c r="M13" i="27"/>
  <c r="Q24" i="27"/>
  <c r="S24" i="27" s="1"/>
  <c r="R24" i="27"/>
  <c r="T24" i="27" s="1"/>
  <c r="Q9" i="27"/>
  <c r="S9" i="27" s="1"/>
  <c r="Q11" i="27"/>
  <c r="S11" i="27" s="1"/>
  <c r="Q17" i="27"/>
  <c r="S17" i="27" s="1"/>
  <c r="Q14" i="27"/>
  <c r="S14" i="27" s="1"/>
  <c r="R23" i="27"/>
  <c r="T23" i="27" s="1"/>
  <c r="Q23" i="27"/>
  <c r="S23" i="27" s="1"/>
  <c r="Q25" i="27"/>
  <c r="S25" i="27" s="1"/>
  <c r="R25" i="27"/>
  <c r="T25" i="27" s="1"/>
  <c r="Q12" i="27"/>
  <c r="S12" i="27" s="1"/>
  <c r="T9" i="27"/>
  <c r="Q26" i="27"/>
  <c r="S26" i="27" s="1"/>
  <c r="R26" i="27"/>
  <c r="T26" i="27" s="1"/>
  <c r="Q10" i="27"/>
  <c r="S10" i="27" s="1"/>
  <c r="D14" i="25"/>
  <c r="I16" i="25"/>
  <c r="N18" i="25" s="1"/>
  <c r="I23" i="25"/>
  <c r="I22" i="25"/>
  <c r="B7" i="25"/>
  <c r="B8" i="25" s="1"/>
  <c r="D6" i="25"/>
  <c r="U11" i="27" l="1"/>
  <c r="U10" i="27"/>
  <c r="U12" i="27"/>
  <c r="U33" i="27"/>
  <c r="U24" i="27"/>
  <c r="U26" i="27"/>
  <c r="U25" i="27"/>
  <c r="U20" i="27"/>
  <c r="U17" i="27"/>
  <c r="U23" i="27"/>
  <c r="U21" i="27"/>
  <c r="U14" i="27"/>
  <c r="R20" i="27"/>
  <c r="T20" i="27" s="1"/>
  <c r="Q27" i="27"/>
  <c r="S27" i="27" s="1"/>
  <c r="U27" i="27" s="1"/>
  <c r="Q22" i="27"/>
  <c r="S22" i="27" s="1"/>
  <c r="U22" i="27" s="1"/>
  <c r="Q18" i="27"/>
  <c r="S18" i="27" s="1"/>
  <c r="U18" i="27" s="1"/>
  <c r="R21" i="27"/>
  <c r="T21" i="27" s="1"/>
  <c r="Q16" i="27"/>
  <c r="S16" i="27" s="1"/>
  <c r="U16" i="27" s="1"/>
  <c r="Q13" i="27"/>
  <c r="S13" i="27" s="1"/>
  <c r="U13" i="27" s="1"/>
  <c r="Q29" i="27"/>
  <c r="S29" i="27" s="1"/>
  <c r="U29" i="27" s="1"/>
  <c r="Q19" i="27"/>
  <c r="S19" i="27" s="1"/>
  <c r="U19" i="27" s="1"/>
  <c r="Q15" i="27"/>
  <c r="S15" i="27" s="1"/>
  <c r="U15" i="27" s="1"/>
  <c r="Q28" i="27"/>
  <c r="S28" i="27" s="1"/>
  <c r="U28" i="27" s="1"/>
  <c r="I25" i="25"/>
  <c r="J26" i="25" s="1"/>
  <c r="H28" i="25" s="1"/>
  <c r="N12" i="25"/>
  <c r="N13" i="25" s="1"/>
  <c r="N15" i="25" s="1"/>
  <c r="H26" i="25" l="1"/>
  <c r="I30" i="25"/>
  <c r="I17" i="25"/>
  <c r="I19" i="25" s="1"/>
  <c r="I20" i="25" s="1"/>
  <c r="H12" i="25" s="1"/>
  <c r="N24" i="25"/>
  <c r="N25" i="25" s="1"/>
  <c r="N26" i="25" s="1"/>
  <c r="N21" i="25"/>
  <c r="I38" i="24"/>
  <c r="I39" i="24" s="1"/>
  <c r="N36" i="25" l="1"/>
  <c r="I18" i="25"/>
  <c r="I41" i="24"/>
  <c r="I43" i="24" s="1"/>
  <c r="R18" i="23"/>
  <c r="R19" i="23" s="1"/>
  <c r="R17" i="23"/>
  <c r="I35" i="24" l="1"/>
  <c r="D50" i="24"/>
  <c r="D47" i="24"/>
  <c r="D48" i="24" s="1"/>
  <c r="D39" i="24"/>
  <c r="I44" i="24" s="1"/>
  <c r="D36" i="24"/>
  <c r="D37" i="24" s="1"/>
  <c r="D9" i="16" l="1"/>
  <c r="M7" i="24"/>
  <c r="M6" i="24"/>
  <c r="I15" i="24"/>
  <c r="I16" i="24" s="1"/>
  <c r="M8" i="24" s="1"/>
  <c r="D16" i="24"/>
  <c r="D10" i="24"/>
  <c r="I19" i="24"/>
  <c r="D17" i="24" l="1"/>
  <c r="H23" i="24"/>
  <c r="H25" i="24"/>
  <c r="I9" i="24"/>
  <c r="I7" i="24"/>
  <c r="D19" i="24"/>
  <c r="D8" i="24"/>
  <c r="M15" i="24"/>
  <c r="M14" i="24"/>
  <c r="I20" i="24"/>
  <c r="L18" i="24" l="1"/>
  <c r="L23" i="24" s="1"/>
  <c r="L20" i="24"/>
  <c r="L25" i="24" s="1"/>
  <c r="M18" i="24"/>
  <c r="M23" i="24" s="1"/>
  <c r="M20" i="24"/>
  <c r="M25" i="24" s="1"/>
  <c r="I23" i="24"/>
  <c r="I25" i="24"/>
  <c r="H24" i="24"/>
  <c r="J12" i="8"/>
  <c r="L8" i="23"/>
  <c r="L9" i="23" s="1"/>
  <c r="N8" i="23"/>
  <c r="N9" i="23" s="1"/>
  <c r="O8" i="23"/>
  <c r="O9" i="23" s="1"/>
  <c r="P8" i="23"/>
  <c r="P9" i="23" s="1"/>
  <c r="Q8" i="23"/>
  <c r="Q9" i="23" s="1"/>
  <c r="R8" i="23"/>
  <c r="R9" i="23" s="1"/>
  <c r="S8" i="23"/>
  <c r="S9" i="23" s="1"/>
  <c r="T8" i="23"/>
  <c r="T9" i="23" s="1"/>
  <c r="U8" i="23"/>
  <c r="U9" i="23" s="1"/>
  <c r="V8" i="23"/>
  <c r="V9" i="23" s="1"/>
  <c r="W8" i="23"/>
  <c r="W9" i="23" s="1"/>
  <c r="M8" i="23"/>
  <c r="M9" i="23" s="1"/>
  <c r="L19" i="24" l="1"/>
  <c r="L24" i="24" s="1"/>
  <c r="M19" i="24"/>
  <c r="M24" i="24" s="1"/>
  <c r="I24" i="24"/>
  <c r="C11" i="23"/>
  <c r="C16" i="23" s="1"/>
  <c r="C17" i="23" s="1"/>
  <c r="H9" i="23" l="1"/>
  <c r="H10" i="23" s="1"/>
  <c r="M10" i="23" l="1"/>
  <c r="R20" i="23"/>
  <c r="M18" i="23" s="1"/>
  <c r="D13" i="23"/>
  <c r="D8" i="23"/>
  <c r="S10" i="23" l="1"/>
  <c r="W10" i="23"/>
  <c r="R10" i="23"/>
  <c r="T10" i="23"/>
  <c r="O10" i="23"/>
  <c r="U10" i="23"/>
  <c r="N10" i="23"/>
  <c r="V10" i="23"/>
  <c r="P10" i="23"/>
  <c r="Q10" i="23"/>
  <c r="H12" i="23"/>
  <c r="H13" i="23" s="1"/>
  <c r="S20" i="23" l="1"/>
  <c r="J8" i="22"/>
  <c r="I23" i="22" s="1"/>
  <c r="D10" i="22"/>
  <c r="U31" i="22" l="1"/>
  <c r="J9" i="22" l="1"/>
  <c r="V27" i="22"/>
  <c r="I19" i="22" l="1"/>
  <c r="P28" i="22"/>
  <c r="J7" i="22"/>
  <c r="E18" i="22" l="1"/>
  <c r="E12" i="22"/>
  <c r="E7" i="22"/>
  <c r="N8" i="22" l="1"/>
  <c r="P8" i="22"/>
  <c r="X8" i="22"/>
  <c r="W8" i="22"/>
  <c r="Q8" i="22"/>
  <c r="T8" i="22"/>
  <c r="V8" i="22"/>
  <c r="R8" i="22"/>
  <c r="S8" i="22"/>
  <c r="U8" i="22"/>
  <c r="J11" i="22"/>
  <c r="O8" i="22"/>
  <c r="T32" i="22" l="1"/>
  <c r="O34" i="22"/>
  <c r="J15" i="22"/>
  <c r="B4" i="22" s="1"/>
  <c r="J12" i="22"/>
  <c r="J14" i="22" s="1"/>
  <c r="D117" i="6"/>
  <c r="C116" i="6"/>
  <c r="D114" i="6"/>
  <c r="C113" i="6"/>
  <c r="J31" i="22" l="1"/>
  <c r="J32" i="22" s="1"/>
  <c r="J33" i="22" s="1"/>
  <c r="O32" i="22"/>
  <c r="J27" i="22"/>
  <c r="J28" i="22" s="1"/>
  <c r="U29" i="22"/>
  <c r="F11" i="20"/>
  <c r="F10" i="20"/>
  <c r="F9" i="20"/>
  <c r="L4" i="20"/>
  <c r="K7" i="20" s="1"/>
  <c r="H4" i="20"/>
  <c r="G6" i="20" s="1"/>
  <c r="J4" i="20"/>
  <c r="I6" i="20" s="1"/>
  <c r="F5" i="20"/>
  <c r="F6" i="20"/>
  <c r="F7" i="20"/>
  <c r="F8" i="20"/>
  <c r="F4" i="20"/>
  <c r="U34" i="22" l="1"/>
  <c r="U33" i="22"/>
  <c r="K9" i="20"/>
  <c r="I9" i="20"/>
  <c r="G11" i="20"/>
  <c r="I5" i="20"/>
  <c r="G10" i="20"/>
  <c r="G9" i="20"/>
  <c r="I11" i="20"/>
  <c r="K11" i="20"/>
  <c r="K10" i="20"/>
  <c r="I4" i="20"/>
  <c r="I10" i="20"/>
  <c r="U30" i="22"/>
  <c r="O33" i="22"/>
  <c r="J16" i="22"/>
  <c r="K5" i="20"/>
  <c r="K4" i="20"/>
  <c r="K8" i="20"/>
  <c r="K6" i="20"/>
  <c r="G5" i="20"/>
  <c r="G4" i="20"/>
  <c r="G8" i="20"/>
  <c r="G7" i="20"/>
  <c r="I8" i="20"/>
  <c r="I7" i="20"/>
  <c r="I110" i="6"/>
  <c r="I112" i="6" s="1"/>
  <c r="O112" i="6" s="1"/>
  <c r="S112" i="6" s="1"/>
  <c r="I109" i="6"/>
  <c r="I111" i="6" s="1"/>
  <c r="I102" i="6"/>
  <c r="I104" i="6" s="1"/>
  <c r="O104" i="6" s="1"/>
  <c r="S104" i="6" s="1"/>
  <c r="I101" i="6"/>
  <c r="I103" i="6" s="1"/>
  <c r="D14" i="8"/>
  <c r="D16" i="8" s="1"/>
  <c r="P15" i="8" s="1"/>
  <c r="D11" i="8"/>
  <c r="D12" i="8" s="1"/>
  <c r="C10" i="8"/>
  <c r="J14" i="8"/>
  <c r="D15" i="8"/>
  <c r="J17" i="8"/>
  <c r="I80" i="6"/>
  <c r="I81" i="6"/>
  <c r="I82" i="6"/>
  <c r="D82" i="6"/>
  <c r="D84" i="6"/>
  <c r="D98" i="6"/>
  <c r="D99" i="6"/>
  <c r="D100" i="6"/>
  <c r="J28" i="25" l="1"/>
  <c r="I31" i="25" s="1"/>
  <c r="I33" i="25" s="1"/>
  <c r="O111" i="6"/>
  <c r="S111" i="6" s="1"/>
  <c r="O103" i="6"/>
  <c r="S103" i="6" s="1"/>
  <c r="D102" i="6"/>
  <c r="I84" i="6"/>
  <c r="D13" i="8"/>
  <c r="P16" i="8"/>
  <c r="P17" i="8" s="1"/>
  <c r="S9" i="11"/>
  <c r="S10" i="11"/>
  <c r="S11" i="11"/>
  <c r="S12" i="11"/>
  <c r="S13" i="11"/>
  <c r="S8" i="11"/>
  <c r="O99" i="6" l="1"/>
  <c r="O107" i="6"/>
  <c r="P10" i="8"/>
  <c r="D69" i="16"/>
  <c r="D68" i="16"/>
  <c r="S107" i="6" l="1"/>
  <c r="O108" i="6" s="1"/>
  <c r="O109" i="6" s="1"/>
  <c r="S99" i="6"/>
  <c r="O100" i="6" s="1"/>
  <c r="O101" i="6" s="1"/>
  <c r="P6" i="19"/>
  <c r="O6" i="19"/>
  <c r="N6" i="19"/>
  <c r="K6" i="19"/>
  <c r="L6" i="19" l="1"/>
  <c r="M6" i="19" s="1"/>
  <c r="N3" i="19"/>
  <c r="N4" i="19"/>
  <c r="N5" i="19"/>
  <c r="P5" i="19"/>
  <c r="O5" i="19"/>
  <c r="K5" i="19"/>
  <c r="P4" i="19"/>
  <c r="O4" i="19"/>
  <c r="K4" i="19"/>
  <c r="P3" i="19"/>
  <c r="O3" i="19"/>
  <c r="K3" i="19"/>
  <c r="D56" i="27" s="1"/>
  <c r="D52" i="27" s="1"/>
  <c r="D53" i="27" s="1"/>
  <c r="O61" i="27" s="1"/>
  <c r="O46" i="27" l="1"/>
  <c r="O58" i="27"/>
  <c r="O70" i="27"/>
  <c r="O60" i="27"/>
  <c r="O53" i="27"/>
  <c r="O64" i="27"/>
  <c r="O55" i="27"/>
  <c r="O68" i="27"/>
  <c r="O65" i="27"/>
  <c r="O66" i="27"/>
  <c r="O49" i="27"/>
  <c r="O51" i="27"/>
  <c r="O63" i="27"/>
  <c r="O67" i="27"/>
  <c r="O56" i="27"/>
  <c r="O57" i="27"/>
  <c r="O54" i="27"/>
  <c r="O62" i="27"/>
  <c r="O69" i="27"/>
  <c r="O52" i="27"/>
  <c r="O48" i="27"/>
  <c r="O59" i="27"/>
  <c r="O47" i="27"/>
  <c r="O50" i="27"/>
  <c r="L5" i="19"/>
  <c r="M5" i="19" s="1"/>
  <c r="L4" i="19"/>
  <c r="M4" i="19" s="1"/>
  <c r="L3" i="19"/>
  <c r="M3" i="19" s="1"/>
  <c r="N34" i="18" l="1"/>
  <c r="C22" i="18" l="1"/>
  <c r="G44" i="18" l="1"/>
  <c r="C29" i="18" l="1"/>
  <c r="C21" i="18" l="1"/>
  <c r="C20" i="18"/>
  <c r="C19" i="18"/>
  <c r="G23" i="18" l="1"/>
  <c r="G54" i="18"/>
  <c r="C18" i="18"/>
  <c r="C16" i="18"/>
  <c r="C17" i="18" s="1"/>
  <c r="C14" i="18"/>
  <c r="C13" i="18"/>
  <c r="C12" i="18"/>
  <c r="C10" i="18"/>
  <c r="J12" i="17"/>
  <c r="H12" i="17" s="1"/>
  <c r="J10" i="17"/>
  <c r="G10" i="17" s="1"/>
  <c r="J8" i="17"/>
  <c r="H8" i="17" s="1"/>
  <c r="J6" i="17"/>
  <c r="H6" i="17" s="1"/>
  <c r="F13" i="17"/>
  <c r="F11" i="17"/>
  <c r="F9" i="17"/>
  <c r="F7" i="17"/>
  <c r="L40" i="18" l="1"/>
  <c r="L39" i="18"/>
  <c r="L41" i="18"/>
  <c r="G50" i="18"/>
  <c r="I50" i="18" s="1"/>
  <c r="G52" i="18"/>
  <c r="K12" i="18"/>
  <c r="L13" i="18" s="1"/>
  <c r="Q8" i="18" s="1"/>
  <c r="G46" i="18"/>
  <c r="G39" i="18"/>
  <c r="I14" i="18"/>
  <c r="I9" i="18" s="1"/>
  <c r="J9" i="18" s="1"/>
  <c r="I13" i="18"/>
  <c r="I8" i="18" s="1"/>
  <c r="J8" i="18" s="1"/>
  <c r="I12" i="18"/>
  <c r="G6" i="17"/>
  <c r="G17" i="18"/>
  <c r="M21" i="18" s="1"/>
  <c r="C15" i="18"/>
  <c r="G20" i="18" s="1"/>
  <c r="G12" i="17"/>
  <c r="H10" i="17"/>
  <c r="G8" i="17"/>
  <c r="D39" i="8"/>
  <c r="D38" i="8"/>
  <c r="J15" i="6"/>
  <c r="I29" i="6"/>
  <c r="I34" i="6"/>
  <c r="I45" i="6"/>
  <c r="L43" i="6" s="1"/>
  <c r="I44" i="6"/>
  <c r="I40" i="6"/>
  <c r="L38" i="6" s="1"/>
  <c r="I39" i="6"/>
  <c r="I30" i="6"/>
  <c r="L28" i="6" s="1"/>
  <c r="M39" i="18" l="1"/>
  <c r="M41" i="18"/>
  <c r="M40" i="18"/>
  <c r="N39" i="18"/>
  <c r="P39" i="18" s="1"/>
  <c r="Q34" i="18" s="1"/>
  <c r="N40" i="18"/>
  <c r="P40" i="18" s="1"/>
  <c r="N41" i="18"/>
  <c r="P41" i="18" s="1"/>
  <c r="G53" i="18"/>
  <c r="L12" i="18"/>
  <c r="Q7" i="18" s="1"/>
  <c r="I39" i="18"/>
  <c r="I34" i="18" s="1"/>
  <c r="J34" i="18" s="1"/>
  <c r="G41" i="18"/>
  <c r="G40" i="18"/>
  <c r="G49" i="18"/>
  <c r="I49" i="18"/>
  <c r="I48" i="18" s="1"/>
  <c r="G47" i="18"/>
  <c r="J7" i="18"/>
  <c r="K7" i="18" s="1"/>
  <c r="L7" i="18" s="1"/>
  <c r="I7" i="18"/>
  <c r="M14" i="18"/>
  <c r="M13" i="18"/>
  <c r="J17" i="18"/>
  <c r="K8" i="18"/>
  <c r="L8" i="18" s="1"/>
  <c r="K9" i="18"/>
  <c r="L9" i="18" s="1"/>
  <c r="J14" i="6"/>
  <c r="O41" i="18" l="1"/>
  <c r="N36" i="18" s="1"/>
  <c r="O40" i="18"/>
  <c r="N35" i="18" s="1"/>
  <c r="I40" i="18"/>
  <c r="I35" i="18" s="1"/>
  <c r="J35" i="18" s="1"/>
  <c r="I41" i="18"/>
  <c r="I36" i="18" s="1"/>
  <c r="J36" i="18" s="1"/>
  <c r="G51" i="18"/>
  <c r="I47" i="18" s="1"/>
  <c r="M22" i="18"/>
  <c r="J21" i="18" s="1"/>
  <c r="G21" i="18"/>
  <c r="G22" i="18" s="1"/>
  <c r="J42" i="6"/>
  <c r="J37" i="6"/>
  <c r="I35" i="6"/>
  <c r="J27" i="6"/>
  <c r="Q35" i="18" l="1"/>
  <c r="Q36" i="18"/>
  <c r="I51" i="18"/>
  <c r="P34" i="18" s="1"/>
  <c r="M23" i="18"/>
  <c r="L33" i="6"/>
  <c r="J13" i="6"/>
  <c r="W4" i="6"/>
  <c r="U4" i="6"/>
  <c r="P36" i="18" l="1"/>
  <c r="P35" i="18"/>
  <c r="K35" i="18"/>
  <c r="K34" i="18"/>
  <c r="L34" i="18" s="1"/>
  <c r="M34" i="18" s="1"/>
  <c r="K36" i="18"/>
  <c r="L36" i="18" s="1"/>
  <c r="M36" i="18" s="1"/>
  <c r="N12" i="18"/>
  <c r="N13" i="18"/>
  <c r="J22" i="18"/>
  <c r="D21" i="6"/>
  <c r="D22" i="6"/>
  <c r="D24" i="6"/>
  <c r="D25" i="6"/>
  <c r="D23" i="6" l="1"/>
  <c r="L35" i="18"/>
  <c r="O36" i="18"/>
  <c r="O34" i="18"/>
  <c r="J23" i="18"/>
  <c r="P7" i="18"/>
  <c r="R7" i="18" s="1"/>
  <c r="O7" i="18" s="1"/>
  <c r="P8" i="18"/>
  <c r="R8" i="18" s="1"/>
  <c r="O8" i="18" s="1"/>
  <c r="J19" i="6"/>
  <c r="J18" i="6" s="1"/>
  <c r="R32" i="6"/>
  <c r="R31" i="6" s="1"/>
  <c r="R37" i="6"/>
  <c r="R36" i="6" s="1"/>
  <c r="R42" i="6"/>
  <c r="R41" i="6" s="1"/>
  <c r="M35" i="18" l="1"/>
  <c r="O35" i="18" s="1"/>
  <c r="M7" i="18"/>
  <c r="N7" i="18" s="1"/>
  <c r="M8" i="18"/>
  <c r="N8" i="18" s="1"/>
  <c r="M9" i="18"/>
  <c r="N9" i="18" s="1"/>
  <c r="D26" i="6"/>
  <c r="H18" i="6" s="1"/>
  <c r="P25" i="11"/>
  <c r="Q25" i="11" s="1"/>
  <c r="P24" i="11"/>
  <c r="Q24" i="11" s="1"/>
  <c r="P23" i="11"/>
  <c r="Q23" i="11" s="1"/>
  <c r="L21" i="6" l="1"/>
  <c r="L22" i="6" s="1"/>
  <c r="L22" i="11"/>
  <c r="L23" i="11"/>
  <c r="L24" i="11"/>
  <c r="L25" i="11"/>
  <c r="L26" i="11"/>
  <c r="L27" i="11"/>
  <c r="L28" i="11"/>
  <c r="L29" i="11"/>
  <c r="L30" i="11"/>
  <c r="L31" i="11"/>
  <c r="L32" i="11"/>
  <c r="L33" i="11"/>
  <c r="L34" i="11"/>
  <c r="L35" i="11"/>
  <c r="L36" i="11"/>
  <c r="L37" i="11"/>
  <c r="L38" i="11"/>
  <c r="L39" i="11"/>
  <c r="L40" i="11"/>
  <c r="L41" i="11"/>
  <c r="I21" i="6" l="1"/>
  <c r="I22" i="6" s="1"/>
  <c r="D6" i="15"/>
  <c r="E6" i="15"/>
  <c r="F6" i="15"/>
  <c r="H6" i="15"/>
  <c r="F5" i="15"/>
  <c r="D5" i="15"/>
  <c r="E5" i="15"/>
  <c r="H5" i="15"/>
  <c r="F12" i="15"/>
  <c r="F13" i="15"/>
  <c r="F11" i="15"/>
  <c r="F10" i="15"/>
  <c r="F9" i="15"/>
  <c r="F8" i="15"/>
  <c r="F7" i="15"/>
  <c r="D12" i="15"/>
  <c r="E12" i="15"/>
  <c r="H12" i="15"/>
  <c r="M25" i="15"/>
  <c r="R14" i="15" l="1"/>
  <c r="R29" i="15"/>
  <c r="R9" i="15"/>
  <c r="R24" i="15"/>
  <c r="R19" i="15"/>
  <c r="R17" i="15"/>
  <c r="R7" i="15"/>
  <c r="R12" i="15"/>
  <c r="R27" i="15"/>
  <c r="R22" i="15"/>
  <c r="G5" i="15"/>
  <c r="G6" i="15"/>
  <c r="G12" i="15"/>
  <c r="C51" i="16"/>
  <c r="D51" i="16"/>
  <c r="E51" i="16"/>
  <c r="F51" i="16"/>
  <c r="G51" i="16"/>
  <c r="H51" i="16"/>
  <c r="I51" i="16"/>
  <c r="J51" i="16"/>
  <c r="K51" i="16"/>
  <c r="L51" i="16"/>
  <c r="M51" i="16"/>
  <c r="N51" i="16"/>
  <c r="O51" i="16"/>
  <c r="P51" i="16"/>
  <c r="Q51" i="16"/>
  <c r="R51" i="16"/>
  <c r="S51" i="16"/>
  <c r="T51" i="16"/>
  <c r="U51" i="16"/>
  <c r="V51" i="16"/>
  <c r="B51" i="16"/>
  <c r="R18" i="15" l="1"/>
  <c r="R13" i="15"/>
  <c r="R23" i="15"/>
  <c r="R28" i="15"/>
  <c r="R8" i="15"/>
  <c r="G6" i="16"/>
  <c r="G7" i="16"/>
  <c r="C6" i="16"/>
  <c r="G32" i="16" l="1"/>
  <c r="G29" i="16"/>
  <c r="B46" i="16"/>
  <c r="C46" i="16"/>
  <c r="B53" i="16" s="1"/>
  <c r="D46" i="16"/>
  <c r="E46" i="16"/>
  <c r="F46" i="16"/>
  <c r="G46" i="16"/>
  <c r="H46" i="16"/>
  <c r="I46" i="16"/>
  <c r="J46" i="16"/>
  <c r="K46" i="16"/>
  <c r="L46" i="16"/>
  <c r="M46" i="16"/>
  <c r="N46" i="16"/>
  <c r="O46" i="16"/>
  <c r="P46" i="16"/>
  <c r="Q46" i="16"/>
  <c r="R46" i="16"/>
  <c r="S46" i="16"/>
  <c r="T46" i="16"/>
  <c r="U46" i="16"/>
  <c r="V46" i="16"/>
  <c r="T5" i="6"/>
  <c r="D34" i="16"/>
  <c r="G31" i="16"/>
  <c r="G33" i="16" s="1"/>
  <c r="D35" i="16"/>
  <c r="M24" i="16" s="1"/>
  <c r="C31" i="16"/>
  <c r="G35" i="16" l="1"/>
  <c r="G68" i="16"/>
  <c r="W9" i="6"/>
  <c r="W7" i="6" s="1"/>
  <c r="V8" i="6" s="1"/>
  <c r="W5" i="6"/>
  <c r="G34" i="16"/>
  <c r="V19" i="6" l="1"/>
  <c r="V14" i="6"/>
  <c r="V20" i="6"/>
  <c r="V15" i="6"/>
  <c r="V17" i="6"/>
  <c r="V11" i="6"/>
  <c r="V10" i="6"/>
  <c r="V18" i="6"/>
  <c r="V9" i="6"/>
  <c r="V7" i="6"/>
  <c r="V13" i="6"/>
  <c r="V21" i="6"/>
  <c r="V16" i="6"/>
  <c r="V12" i="6"/>
  <c r="V22" i="6"/>
  <c r="D36" i="16" l="1"/>
  <c r="E14" i="16"/>
  <c r="D21" i="16" l="1"/>
  <c r="D10" i="16"/>
  <c r="M5" i="15"/>
  <c r="G8" i="16"/>
  <c r="G19" i="16"/>
  <c r="G9" i="16" s="1"/>
  <c r="D12" i="16"/>
  <c r="D4" i="16" s="1"/>
  <c r="G10" i="16" l="1"/>
  <c r="D13" i="16"/>
  <c r="G27" i="16"/>
  <c r="G28" i="16" s="1"/>
  <c r="M8" i="16"/>
  <c r="C27" i="16"/>
  <c r="G11" i="16" l="1"/>
  <c r="C19" i="16"/>
  <c r="M20" i="15" l="1"/>
  <c r="M15" i="15"/>
  <c r="H7" i="15"/>
  <c r="Q19" i="15" s="1"/>
  <c r="H8" i="15"/>
  <c r="P9" i="15" s="1"/>
  <c r="H9" i="15"/>
  <c r="O29" i="15" s="1"/>
  <c r="H10" i="15"/>
  <c r="H11" i="15"/>
  <c r="H13" i="15"/>
  <c r="Q14" i="15" l="1"/>
  <c r="Q24" i="15"/>
  <c r="Q29" i="15"/>
  <c r="N29" i="15"/>
  <c r="P29" i="15"/>
  <c r="N9" i="15"/>
  <c r="Q9" i="15"/>
  <c r="P14" i="15"/>
  <c r="O9" i="15"/>
  <c r="N14" i="15"/>
  <c r="O14" i="15"/>
  <c r="N19" i="15"/>
  <c r="O19" i="15"/>
  <c r="P19" i="15"/>
  <c r="N24" i="15"/>
  <c r="O24" i="15"/>
  <c r="P24" i="15"/>
  <c r="M10" i="15"/>
  <c r="U25" i="15" l="1"/>
  <c r="U20" i="15"/>
  <c r="U5" i="15"/>
  <c r="U15" i="15"/>
  <c r="U10" i="15"/>
  <c r="D8" i="15"/>
  <c r="P7" i="15" s="1"/>
  <c r="E7" i="15"/>
  <c r="G7" i="15" s="1"/>
  <c r="E8" i="15"/>
  <c r="G8" i="15" s="1"/>
  <c r="P8" i="15" s="1"/>
  <c r="E9" i="15"/>
  <c r="G9" i="15" s="1"/>
  <c r="O28" i="15" s="1"/>
  <c r="E10" i="15"/>
  <c r="G10" i="15" s="1"/>
  <c r="E11" i="15"/>
  <c r="G11" i="15" s="1"/>
  <c r="E13" i="15"/>
  <c r="G13" i="15" s="1"/>
  <c r="D9" i="15"/>
  <c r="O27" i="15" s="1"/>
  <c r="D10" i="15"/>
  <c r="D11" i="15"/>
  <c r="D13" i="15"/>
  <c r="D7" i="15"/>
  <c r="Q13" i="15" l="1"/>
  <c r="Q18" i="15"/>
  <c r="Q17" i="15"/>
  <c r="Q12" i="15"/>
  <c r="N28" i="15"/>
  <c r="Q22" i="15"/>
  <c r="Q27" i="15"/>
  <c r="N7" i="15"/>
  <c r="Q23" i="15"/>
  <c r="Q28" i="15"/>
  <c r="Q7" i="15"/>
  <c r="P27" i="15"/>
  <c r="P28" i="15"/>
  <c r="O7" i="15"/>
  <c r="N27" i="15"/>
  <c r="N8" i="15"/>
  <c r="O18" i="15"/>
  <c r="O13" i="15"/>
  <c r="O23" i="15"/>
  <c r="N13" i="15"/>
  <c r="N18" i="15"/>
  <c r="O8" i="15"/>
  <c r="N23" i="15"/>
  <c r="P18" i="15"/>
  <c r="P13" i="15"/>
  <c r="Q8" i="15"/>
  <c r="P23" i="15"/>
  <c r="O12" i="15"/>
  <c r="O22" i="15"/>
  <c r="O17" i="15"/>
  <c r="P12" i="15"/>
  <c r="P22" i="15"/>
  <c r="P17" i="15"/>
  <c r="N12" i="15"/>
  <c r="N22" i="15"/>
  <c r="N17" i="15"/>
  <c r="N11" i="13"/>
  <c r="S25" i="15" l="1"/>
  <c r="T25" i="15" s="1"/>
  <c r="S5" i="15"/>
  <c r="W5" i="15" s="1"/>
  <c r="S20" i="15"/>
  <c r="T20" i="15" s="1"/>
  <c r="S15" i="15"/>
  <c r="T15" i="15" s="1"/>
  <c r="S10" i="15"/>
  <c r="T10" i="15" s="1"/>
  <c r="O11" i="13"/>
  <c r="F7" i="13" s="1"/>
  <c r="R11" i="13"/>
  <c r="J13" i="13" s="1"/>
  <c r="P9" i="13"/>
  <c r="Q9" i="13" s="1"/>
  <c r="P8" i="13"/>
  <c r="Q8" i="13" s="1"/>
  <c r="P7" i="13"/>
  <c r="Q7" i="13" s="1"/>
  <c r="Q11" i="13" l="1"/>
  <c r="Y5" i="15"/>
  <c r="T5" i="15"/>
  <c r="X5" i="15" s="1"/>
  <c r="P11" i="13"/>
  <c r="W25" i="15"/>
  <c r="W20" i="15"/>
  <c r="W10" i="15"/>
  <c r="W15" i="15"/>
  <c r="J9" i="13"/>
  <c r="J29" i="8"/>
  <c r="J20" i="13"/>
  <c r="J15" i="13"/>
  <c r="J12" i="13"/>
  <c r="Y15" i="15" l="1"/>
  <c r="Y20" i="15"/>
  <c r="Y25" i="15"/>
  <c r="Y10" i="15"/>
  <c r="AA5" i="15"/>
  <c r="Z5" i="15" s="1"/>
  <c r="AB5" i="15"/>
  <c r="H7" i="23" s="1"/>
  <c r="D85" i="6"/>
  <c r="X10" i="15"/>
  <c r="G21" i="16"/>
  <c r="M22" i="16" s="1"/>
  <c r="X25" i="15"/>
  <c r="G20" i="16"/>
  <c r="D39" i="16" s="1"/>
  <c r="X15" i="15"/>
  <c r="X20" i="15"/>
  <c r="J16" i="13"/>
  <c r="J21" i="13" s="1"/>
  <c r="J14" i="13"/>
  <c r="D19" i="13"/>
  <c r="J8" i="13"/>
  <c r="J7" i="13"/>
  <c r="J6" i="13"/>
  <c r="F6" i="13"/>
  <c r="O75" i="6" l="1"/>
  <c r="O76" i="6" s="1"/>
  <c r="H14" i="23"/>
  <c r="H15" i="23" s="1"/>
  <c r="R15" i="23"/>
  <c r="M19" i="23"/>
  <c r="M20" i="23" s="1"/>
  <c r="AB10" i="15"/>
  <c r="AA10" i="15"/>
  <c r="Z10" i="15" s="1"/>
  <c r="AB25" i="15"/>
  <c r="AA25" i="15"/>
  <c r="Z25" i="15" s="1"/>
  <c r="AB20" i="15"/>
  <c r="AA20" i="15"/>
  <c r="Z20" i="15" s="1"/>
  <c r="AB15" i="15"/>
  <c r="AA15" i="15"/>
  <c r="Z15" i="15" s="1"/>
  <c r="G22" i="16"/>
  <c r="M11" i="16" s="1"/>
  <c r="M12" i="16" s="1"/>
  <c r="M16" i="16"/>
  <c r="O22" i="16" s="1"/>
  <c r="J10" i="13"/>
  <c r="J11" i="13" s="1"/>
  <c r="J17" i="13" s="1"/>
  <c r="J31" i="13" s="1"/>
  <c r="J32" i="13" s="1"/>
  <c r="D28" i="13" s="1"/>
  <c r="O55" i="6"/>
  <c r="D40" i="16" l="1"/>
  <c r="D41" i="16" s="1"/>
  <c r="I39" i="16" s="1"/>
  <c r="F43" i="16" s="1"/>
  <c r="M13" i="16"/>
  <c r="M25" i="16" s="1"/>
  <c r="J22" i="13"/>
  <c r="O53" i="6"/>
  <c r="O54" i="6" s="1"/>
  <c r="D61" i="6"/>
  <c r="D62" i="6" s="1"/>
  <c r="I65" i="6"/>
  <c r="L65" i="6" s="1"/>
  <c r="I56" i="6"/>
  <c r="L56" i="6" s="1"/>
  <c r="I40" i="16" l="1"/>
  <c r="U47" i="16"/>
  <c r="K47" i="16"/>
  <c r="H47" i="16"/>
  <c r="E47" i="16"/>
  <c r="F47" i="16"/>
  <c r="L47" i="16"/>
  <c r="T47" i="16"/>
  <c r="G47" i="16"/>
  <c r="N47" i="16"/>
  <c r="P47" i="16"/>
  <c r="S47" i="16"/>
  <c r="O47" i="16"/>
  <c r="Q47" i="16"/>
  <c r="V47" i="16"/>
  <c r="D43" i="16" s="1"/>
  <c r="J47" i="16"/>
  <c r="I47" i="16"/>
  <c r="M47" i="16"/>
  <c r="R47" i="16"/>
  <c r="D47" i="16"/>
  <c r="B47" i="16"/>
  <c r="C47" i="16"/>
  <c r="J25" i="13"/>
  <c r="J26" i="13" s="1"/>
  <c r="J23" i="13"/>
  <c r="J24" i="13"/>
  <c r="J33" i="13"/>
  <c r="J34" i="13" s="1"/>
  <c r="I66" i="6"/>
  <c r="I67" i="6" s="1"/>
  <c r="I57" i="6"/>
  <c r="I64" i="6"/>
  <c r="I55" i="6"/>
  <c r="D60" i="6"/>
  <c r="J27" i="13" l="1"/>
  <c r="O52" i="6"/>
  <c r="O51" i="6"/>
  <c r="I68" i="6"/>
  <c r="T15" i="8"/>
  <c r="T18" i="8" l="1"/>
  <c r="T19" i="8"/>
  <c r="T16" i="8"/>
  <c r="T17" i="8" s="1"/>
  <c r="J28" i="13"/>
  <c r="J29" i="13" s="1"/>
  <c r="D25" i="13"/>
  <c r="O57" i="6"/>
  <c r="O58" i="6" s="1"/>
  <c r="T21" i="8" l="1"/>
  <c r="O59" i="6"/>
  <c r="O62" i="6" s="1"/>
  <c r="O63" i="6" s="1"/>
  <c r="I31" i="8"/>
  <c r="I27" i="8"/>
  <c r="P44" i="8" l="1"/>
  <c r="D26" i="8"/>
  <c r="D33" i="8"/>
  <c r="F26" i="8" l="1"/>
  <c r="P25" i="8"/>
  <c r="D34" i="8" l="1"/>
  <c r="J30" i="8" l="1"/>
  <c r="K7" i="11" l="1"/>
  <c r="H7" i="11"/>
  <c r="H8" i="11" s="1"/>
  <c r="H9" i="11" s="1"/>
  <c r="H10" i="11" s="1"/>
  <c r="H11" i="11" s="1"/>
  <c r="H12" i="11" s="1"/>
  <c r="H13" i="11" s="1"/>
  <c r="H14" i="11" s="1"/>
  <c r="H15" i="11" s="1"/>
  <c r="H16" i="11" s="1"/>
  <c r="H17" i="11" s="1"/>
  <c r="H18" i="11" s="1"/>
  <c r="H19" i="11" s="1"/>
  <c r="H20" i="11" s="1"/>
  <c r="H21" i="11" s="1"/>
  <c r="H22" i="11" s="1"/>
  <c r="H23" i="11" s="1"/>
  <c r="H24" i="11" s="1"/>
  <c r="H25" i="11" s="1"/>
  <c r="H26" i="11" s="1"/>
  <c r="H27" i="11" s="1"/>
  <c r="H28" i="11" s="1"/>
  <c r="H29" i="11" s="1"/>
  <c r="H30" i="11" s="1"/>
  <c r="H31" i="11" s="1"/>
  <c r="H32" i="11" s="1"/>
  <c r="H33" i="11" s="1"/>
  <c r="H34" i="11" s="1"/>
  <c r="H35" i="11" s="1"/>
  <c r="H36" i="11" s="1"/>
  <c r="H37" i="11" s="1"/>
  <c r="H38" i="11" s="1"/>
  <c r="H39" i="11" s="1"/>
  <c r="H40" i="11" s="1"/>
  <c r="H41" i="11" s="1"/>
  <c r="H42" i="11" s="1"/>
  <c r="H43" i="11" s="1"/>
  <c r="H44" i="11" s="1"/>
  <c r="H45" i="11" s="1"/>
  <c r="H46" i="11" s="1"/>
  <c r="H47" i="11" s="1"/>
  <c r="H48" i="11" s="1"/>
  <c r="H49" i="11" s="1"/>
  <c r="H50" i="11" s="1"/>
  <c r="H51" i="11" s="1"/>
  <c r="H52" i="11" s="1"/>
  <c r="H53" i="11" s="1"/>
  <c r="H54" i="11" s="1"/>
  <c r="H55" i="11" s="1"/>
  <c r="H56" i="11" s="1"/>
  <c r="H57" i="11" s="1"/>
  <c r="H58" i="11" s="1"/>
  <c r="H59" i="11" s="1"/>
  <c r="H60" i="11" s="1"/>
  <c r="H61" i="11" s="1"/>
  <c r="H62" i="11" s="1"/>
  <c r="H63" i="11" s="1"/>
  <c r="H64" i="11" s="1"/>
  <c r="H65" i="11" s="1"/>
  <c r="H66" i="11" s="1"/>
  <c r="H67" i="11" s="1"/>
  <c r="H68" i="11" s="1"/>
  <c r="H69" i="11" s="1"/>
  <c r="H70" i="11" s="1"/>
  <c r="H71" i="11" s="1"/>
  <c r="H72" i="11" s="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H100" i="11" s="1"/>
  <c r="H101" i="11" s="1"/>
  <c r="H102" i="11" s="1"/>
  <c r="H103" i="11" s="1"/>
  <c r="H104" i="11" s="1"/>
  <c r="H105" i="11" s="1"/>
  <c r="H106" i="11" s="1"/>
  <c r="H107" i="11" s="1"/>
  <c r="H108" i="11" s="1"/>
  <c r="H109" i="11" s="1"/>
  <c r="H110" i="11" s="1"/>
  <c r="H111" i="11" s="1"/>
  <c r="H112" i="11" s="1"/>
  <c r="H113" i="11" s="1"/>
  <c r="H114" i="11" s="1"/>
  <c r="H115" i="11" s="1"/>
  <c r="H116" i="11" s="1"/>
  <c r="H117" i="11" s="1"/>
  <c r="H118" i="11" s="1"/>
  <c r="H119" i="11" s="1"/>
  <c r="H120" i="11" s="1"/>
  <c r="H121" i="11" s="1"/>
  <c r="H122" i="11" s="1"/>
  <c r="H123" i="11" s="1"/>
  <c r="H124" i="11" s="1"/>
  <c r="K6" i="11" s="1"/>
  <c r="G7" i="11"/>
  <c r="G8" i="11" s="1"/>
  <c r="G9" i="11" s="1"/>
  <c r="G10" i="11" s="1"/>
  <c r="G11" i="11" s="1"/>
  <c r="G12" i="11" s="1"/>
  <c r="G13" i="11" s="1"/>
  <c r="G14" i="11" s="1"/>
  <c r="G15" i="11" s="1"/>
  <c r="G16" i="11" s="1"/>
  <c r="G17" i="11" s="1"/>
  <c r="G18" i="11" s="1"/>
  <c r="G19" i="11" s="1"/>
  <c r="G20" i="11" s="1"/>
  <c r="G21" i="11" s="1"/>
  <c r="G22" i="11" s="1"/>
  <c r="G23" i="11" s="1"/>
  <c r="G24" i="11" s="1"/>
  <c r="G25" i="11" s="1"/>
  <c r="G26" i="11" s="1"/>
  <c r="G27" i="11" s="1"/>
  <c r="G28" i="11" s="1"/>
  <c r="G29" i="11" s="1"/>
  <c r="G30" i="11" s="1"/>
  <c r="G31" i="11" s="1"/>
  <c r="G32" i="11" s="1"/>
  <c r="G33" i="11" s="1"/>
  <c r="G34" i="11" s="1"/>
  <c r="G35" i="11" s="1"/>
  <c r="G36" i="11" s="1"/>
  <c r="G37" i="11" s="1"/>
  <c r="G38" i="11" s="1"/>
  <c r="G39" i="11" s="1"/>
  <c r="G40" i="11" s="1"/>
  <c r="G41" i="11" s="1"/>
  <c r="G42" i="11" s="1"/>
  <c r="G43" i="11" s="1"/>
  <c r="G44" i="11" s="1"/>
  <c r="G45" i="11" s="1"/>
  <c r="G46" i="11" s="1"/>
  <c r="G47" i="11" s="1"/>
  <c r="G48" i="11" s="1"/>
  <c r="G49" i="11" s="1"/>
  <c r="G50" i="11" s="1"/>
  <c r="G51" i="11" s="1"/>
  <c r="G52" i="11" s="1"/>
  <c r="G53" i="11" s="1"/>
  <c r="G54" i="11" s="1"/>
  <c r="G55" i="11" s="1"/>
  <c r="G56" i="11" s="1"/>
  <c r="G57" i="11" s="1"/>
  <c r="G58" i="11" s="1"/>
  <c r="G59" i="11" s="1"/>
  <c r="G60" i="11" s="1"/>
  <c r="G61" i="11" s="1"/>
  <c r="G62" i="11" s="1"/>
  <c r="G63" i="11" s="1"/>
  <c r="G64" i="11" s="1"/>
  <c r="G65" i="11" s="1"/>
  <c r="G66" i="11" s="1"/>
  <c r="G67" i="11" s="1"/>
  <c r="G68" i="11" s="1"/>
  <c r="G69" i="11" s="1"/>
  <c r="G70" i="11" s="1"/>
  <c r="G71" i="11" s="1"/>
  <c r="G72" i="11" s="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G100" i="11" s="1"/>
  <c r="G101" i="11" s="1"/>
  <c r="G102" i="11" s="1"/>
  <c r="G103" i="11" s="1"/>
  <c r="G104" i="11" s="1"/>
  <c r="G105" i="11" s="1"/>
  <c r="G106" i="11" s="1"/>
  <c r="G107" i="11" s="1"/>
  <c r="G108" i="11" s="1"/>
  <c r="G109" i="11" s="1"/>
  <c r="G110" i="11" s="1"/>
  <c r="G111" i="11" s="1"/>
  <c r="G112" i="11" s="1"/>
  <c r="G113" i="11" s="1"/>
  <c r="G114" i="11" s="1"/>
  <c r="G115" i="11" s="1"/>
  <c r="G116" i="11" s="1"/>
  <c r="G117" i="11" s="1"/>
  <c r="G118" i="11" s="1"/>
  <c r="G119" i="11" s="1"/>
  <c r="G120" i="11" s="1"/>
  <c r="G121" i="11" s="1"/>
  <c r="G122" i="11" s="1"/>
  <c r="G123" i="11" s="1"/>
  <c r="G124" i="11" s="1"/>
  <c r="K4" i="11" s="1"/>
  <c r="E24" i="8" l="1"/>
  <c r="D27" i="8" l="1"/>
  <c r="D31" i="8" l="1"/>
  <c r="D32" i="8" l="1"/>
  <c r="D30" i="8" l="1"/>
  <c r="J25" i="8" s="1"/>
  <c r="J26" i="8" s="1"/>
  <c r="D28" i="8"/>
  <c r="P11" i="8" s="1"/>
  <c r="D25" i="8" l="1"/>
  <c r="C24" i="8"/>
  <c r="D35" i="8" l="1"/>
  <c r="J33" i="8"/>
  <c r="J34" i="8" s="1"/>
  <c r="D29" i="8"/>
  <c r="P18" i="8"/>
  <c r="D37" i="8" l="1"/>
  <c r="P22" i="8" s="1"/>
  <c r="D36" i="8"/>
  <c r="P23" i="8"/>
  <c r="J32" i="6" l="1"/>
  <c r="I8" i="6"/>
  <c r="O6" i="6" s="1"/>
  <c r="J7" i="6"/>
  <c r="R27" i="6" l="1"/>
  <c r="R26" i="6" s="1"/>
  <c r="O26" i="6" s="1"/>
  <c r="L29" i="6"/>
  <c r="L34" i="6" s="1"/>
  <c r="L39" i="6" s="1"/>
  <c r="L44" i="6" s="1"/>
  <c r="T26" i="6" l="1"/>
  <c r="O7" i="6"/>
  <c r="O8" i="6"/>
  <c r="O28" i="6" l="1"/>
  <c r="T27" i="6"/>
  <c r="O27" i="6"/>
  <c r="O31" i="6" l="1"/>
  <c r="T31" i="6" s="1"/>
  <c r="T32" i="6" s="1"/>
  <c r="T28" i="6"/>
  <c r="V26" i="6" s="1"/>
  <c r="O36" i="6" l="1"/>
  <c r="O38" i="6" s="1"/>
  <c r="T33" i="6"/>
  <c r="V31" i="6" s="1"/>
  <c r="O33" i="6"/>
  <c r="O32" i="6"/>
  <c r="T36" i="6" l="1"/>
  <c r="T37" i="6" s="1"/>
  <c r="O41" i="6" s="1"/>
  <c r="O43" i="6" s="1"/>
  <c r="O37" i="6"/>
  <c r="P20" i="8"/>
  <c r="P35" i="8"/>
  <c r="T38" i="6" l="1"/>
  <c r="V36" i="6" s="1"/>
  <c r="O42" i="6"/>
  <c r="T41" i="6"/>
  <c r="T42" i="6" s="1"/>
  <c r="T43" i="6" s="1"/>
  <c r="V41" i="6" s="1"/>
  <c r="P33" i="8"/>
  <c r="P29" i="8"/>
  <c r="P45" i="8"/>
  <c r="P46" i="8" s="1"/>
  <c r="P27" i="8"/>
  <c r="P37" i="8" l="1"/>
  <c r="P30" i="8"/>
  <c r="P19" i="8" s="1"/>
  <c r="P24" i="8" s="1"/>
  <c r="P28" i="8" l="1"/>
  <c r="P31" i="8"/>
  <c r="P26" i="8"/>
  <c r="P32" i="8" l="1"/>
  <c r="P34" i="8" s="1"/>
  <c r="P36" i="8" s="1"/>
  <c r="P38" i="8" s="1"/>
  <c r="P39" i="8" s="1"/>
  <c r="P40" i="8" s="1"/>
  <c r="P42" i="8" s="1"/>
  <c r="P41" i="8"/>
  <c r="P21" i="8"/>
  <c r="P43" i="8" l="1"/>
  <c r="T10" i="8" s="1"/>
  <c r="T11" i="8" s="1"/>
  <c r="T13" i="8" l="1"/>
  <c r="T12" i="8"/>
  <c r="R22" i="16"/>
  <c r="M19" i="16"/>
  <c r="M20" i="16"/>
  <c r="O20" i="16" s="1"/>
  <c r="R20" i="16" s="1"/>
  <c r="M21" i="16"/>
  <c r="O21" i="16" s="1"/>
  <c r="R21" i="16" s="1"/>
  <c r="M26" i="16"/>
  <c r="M23" i="16" s="1"/>
  <c r="O26" i="16" l="1"/>
  <c r="R24" i="16" s="1"/>
  <c r="O19" i="16"/>
  <c r="R19" i="16" s="1"/>
  <c r="O23" i="16" l="1"/>
  <c r="R23" i="16" s="1"/>
  <c r="D42" i="16"/>
  <c r="M18" i="16"/>
  <c r="O18" i="16" s="1"/>
  <c r="R18" i="16" s="1"/>
  <c r="B48" i="16" l="1"/>
  <c r="C48" i="16"/>
  <c r="T48" i="16"/>
  <c r="D48" i="16"/>
  <c r="E48" i="16"/>
  <c r="P48" i="16"/>
  <c r="L48" i="16"/>
  <c r="M48" i="16"/>
  <c r="F48" i="16"/>
  <c r="H48" i="16"/>
  <c r="S48" i="16"/>
  <c r="Q48" i="16"/>
  <c r="V48" i="16"/>
  <c r="G48" i="16"/>
  <c r="N48" i="16"/>
  <c r="R48" i="16"/>
  <c r="U48" i="16"/>
  <c r="I48" i="16"/>
  <c r="J48" i="16"/>
  <c r="K48" i="16"/>
  <c r="O48" i="16"/>
  <c r="G39" i="16"/>
  <c r="G40" i="16" l="1"/>
  <c r="F41" i="16" s="1"/>
  <c r="V49" i="16"/>
  <c r="U49" i="16" s="1"/>
  <c r="V50" i="16"/>
  <c r="U50" i="16" s="1"/>
  <c r="T50" i="16" s="1"/>
  <c r="S50" i="16" s="1"/>
  <c r="R50" i="16" s="1"/>
  <c r="Q50" i="16" s="1"/>
  <c r="P50" i="16" s="1"/>
  <c r="O50" i="16" s="1"/>
  <c r="N50" i="16" s="1"/>
  <c r="M50" i="16" s="1"/>
  <c r="L50" i="16" s="1"/>
  <c r="K50" i="16" s="1"/>
  <c r="J50" i="16" s="1"/>
  <c r="I50" i="16" s="1"/>
  <c r="H50" i="16" s="1"/>
  <c r="G50" i="16" s="1"/>
  <c r="F50" i="16" s="1"/>
  <c r="E50" i="16" s="1"/>
  <c r="D50" i="16" s="1"/>
  <c r="C50" i="16" s="1"/>
  <c r="B50" i="16" s="1"/>
  <c r="D62" i="16" s="1"/>
  <c r="T49" i="16" l="1"/>
  <c r="S49" i="16" s="1"/>
  <c r="R49" i="16" s="1"/>
  <c r="Q49" i="16" s="1"/>
  <c r="P49" i="16" s="1"/>
  <c r="O49" i="16" s="1"/>
  <c r="N49" i="16" s="1"/>
  <c r="M49" i="16" s="1"/>
  <c r="L49" i="16" s="1"/>
  <c r="K49" i="16" s="1"/>
  <c r="J49" i="16" s="1"/>
  <c r="I49" i="16" s="1"/>
  <c r="H49" i="16" s="1"/>
  <c r="G49" i="16" s="1"/>
  <c r="F49" i="16" s="1"/>
  <c r="E49" i="16" s="1"/>
  <c r="D49" i="16" s="1"/>
  <c r="C49" i="16" s="1"/>
  <c r="B49" i="16" s="1"/>
  <c r="D57" i="16" s="1"/>
  <c r="F42" i="16"/>
  <c r="F62" i="16"/>
  <c r="F57" i="16" l="1"/>
  <c r="G15" i="16" l="1"/>
  <c r="D7" i="16"/>
  <c r="D58" i="16"/>
  <c r="G58" i="16" s="1"/>
  <c r="D63" i="16"/>
  <c r="D64" i="16" s="1"/>
  <c r="D67" i="16"/>
  <c r="G67" i="16"/>
  <c r="G69" i="16"/>
  <c r="D25" i="16"/>
  <c r="G17" i="16"/>
  <c r="G16" i="16"/>
  <c r="G63" i="16" l="1"/>
  <c r="R72" i="16"/>
  <c r="T72" i="16"/>
  <c r="O72" i="16"/>
  <c r="L72" i="16"/>
  <c r="S72" i="16"/>
  <c r="P72" i="16"/>
  <c r="M72" i="16"/>
  <c r="Q72" i="16"/>
  <c r="N72" i="16"/>
  <c r="D59" i="16"/>
  <c r="T71" i="16" l="1"/>
  <c r="P71" i="16"/>
  <c r="R71" i="16"/>
  <c r="S71" i="16"/>
  <c r="M71" i="16"/>
  <c r="Q71" i="16"/>
  <c r="N71" i="16"/>
  <c r="L71" i="16"/>
  <c r="O7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Fenix</author>
  </authors>
  <commentList>
    <comment ref="L4" authorId="0" shapeId="0" xr:uid="{6471E78A-1F55-4E8D-ACEB-CB3E0530DB78}">
      <text>
        <r>
          <rPr>
            <b/>
            <sz val="9"/>
            <color indexed="81"/>
            <rFont val="Tahoma"/>
            <family val="2"/>
          </rPr>
          <t>Author:</t>
        </r>
        <r>
          <rPr>
            <sz val="9"/>
            <color indexed="81"/>
            <rFont val="Tahoma"/>
            <family val="2"/>
          </rPr>
          <t xml:space="preserve">
Maximum at critical mass</t>
        </r>
      </text>
    </comment>
    <comment ref="N4" authorId="0" shapeId="0" xr:uid="{AC1AB79A-E5D5-4FED-8D06-8F7091DEAA16}">
      <text>
        <r>
          <rPr>
            <b/>
            <sz val="9"/>
            <color indexed="81"/>
            <rFont val="Tahoma"/>
            <family val="2"/>
          </rPr>
          <t>Author:</t>
        </r>
        <r>
          <rPr>
            <sz val="9"/>
            <color indexed="81"/>
            <rFont val="Tahoma"/>
            <family val="2"/>
          </rPr>
          <t xml:space="preserve">
Unreflected Bare Core value, pure isotopic.</t>
        </r>
      </text>
    </comment>
    <comment ref="B10" authorId="1" shapeId="0" xr:uid="{A03BC396-7CCE-44AE-BDF5-1262B7BD25B9}">
      <text>
        <r>
          <rPr>
            <b/>
            <sz val="9"/>
            <color indexed="81"/>
            <rFont val="Tahoma"/>
            <family val="2"/>
          </rPr>
          <t>Fenix:</t>
        </r>
        <r>
          <rPr>
            <sz val="9"/>
            <color indexed="81"/>
            <rFont val="Tahoma"/>
            <family val="2"/>
          </rPr>
          <t xml:space="preserve">
alpha phased Plutonium</t>
        </r>
      </text>
    </comment>
    <comment ref="B12" authorId="0" shapeId="0" xr:uid="{DFE046E6-F15A-44F0-A6C1-60EA1D2ADDE7}">
      <text>
        <r>
          <rPr>
            <b/>
            <sz val="9"/>
            <color indexed="81"/>
            <rFont val="Tahoma"/>
            <family val="2"/>
          </rPr>
          <t>Author:</t>
        </r>
        <r>
          <rPr>
            <sz val="9"/>
            <color indexed="81"/>
            <rFont val="Tahoma"/>
            <family val="2"/>
          </rPr>
          <t xml:space="preserve">
(94.134 wt% Pu-239, 4.848 wt% Pu-240, 1.018 wt% gallium)
delta phased</t>
        </r>
      </text>
    </comment>
    <comment ref="O12" authorId="0" shapeId="0" xr:uid="{9B9CB6E9-B2CF-45EB-89C0-9ACBECFFB50E}">
      <text>
        <r>
          <rPr>
            <b/>
            <sz val="9"/>
            <color indexed="81"/>
            <rFont val="Tahoma"/>
            <family val="2"/>
          </rPr>
          <t>Author:</t>
        </r>
        <r>
          <rPr>
            <sz val="9"/>
            <color indexed="81"/>
            <rFont val="Tahoma"/>
            <family val="2"/>
          </rPr>
          <t xml:space="preserve">
Speculative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G2" authorId="0" shapeId="0" xr:uid="{E7593881-F62E-40DD-B7ED-6A4387ADD22C}">
      <text>
        <r>
          <rPr>
            <b/>
            <sz val="9"/>
            <color indexed="81"/>
            <rFont val="Tahoma"/>
            <family val="2"/>
          </rPr>
          <t>Fenix:</t>
        </r>
        <r>
          <rPr>
            <sz val="9"/>
            <color indexed="81"/>
            <rFont val="Tahoma"/>
            <family val="2"/>
          </rPr>
          <t xml:space="preserve">
Highly energetic particle weapon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L9" authorId="0" shapeId="0" xr:uid="{EEBDAE16-1F01-427E-AEEA-AACD7897F07A}">
      <text>
        <r>
          <rPr>
            <b/>
            <sz val="9"/>
            <color indexed="81"/>
            <rFont val="Tahoma"/>
            <family val="2"/>
          </rPr>
          <t>Fenix:</t>
        </r>
        <r>
          <rPr>
            <sz val="9"/>
            <color indexed="81"/>
            <rFont val="Tahoma"/>
            <family val="2"/>
          </rPr>
          <t xml:space="preserve">
Models the ability for pusher plate surface coating to help absorb energy of the blast. 
Generally speaking, heavier elements have higher modifiers. Modifier is relative to Uranium vapor.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D7" authorId="0" shapeId="0" xr:uid="{8D1739D1-3D9A-4C97-A5AC-AF49AFFB4E20}">
      <text>
        <r>
          <rPr>
            <b/>
            <sz val="9"/>
            <color indexed="81"/>
            <rFont val="Tahoma"/>
            <family val="2"/>
          </rPr>
          <t>Fenix:</t>
        </r>
        <r>
          <rPr>
            <sz val="9"/>
            <color indexed="81"/>
            <rFont val="Tahoma"/>
            <family val="2"/>
          </rPr>
          <t xml:space="preserve">
Empirical evidence suggests ~2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N6" authorId="0" shapeId="0" xr:uid="{89308D49-0CFC-450D-9904-02D2FD4E7DD6}">
      <text>
        <r>
          <rPr>
            <b/>
            <sz val="9"/>
            <color indexed="81"/>
            <rFont val="Tahoma"/>
            <family val="2"/>
          </rPr>
          <t>Fenix:</t>
        </r>
        <r>
          <rPr>
            <sz val="9"/>
            <color indexed="81"/>
            <rFont val="Tahoma"/>
            <family val="2"/>
          </rPr>
          <t xml:space="preserve">
Yield to weight ratio, yardstick for technological advanceness of nukes.</t>
        </r>
      </text>
    </comment>
    <comment ref="O6" authorId="0" shapeId="0" xr:uid="{AAD4CFD1-8504-49C7-9152-E8FA7D34AA55}">
      <text>
        <r>
          <rPr>
            <b/>
            <sz val="9"/>
            <color indexed="81"/>
            <rFont val="Tahoma"/>
            <family val="2"/>
          </rPr>
          <t>Fenix:</t>
        </r>
        <r>
          <rPr>
            <sz val="9"/>
            <color indexed="81"/>
            <rFont val="Tahoma"/>
            <family val="2"/>
          </rPr>
          <t xml:space="preserve">
Chance of pre-detonation causing a lower yield than expected due to local neutron flux. Gun type are inherently susceptible.</t>
        </r>
      </text>
    </comment>
    <comment ref="F23" authorId="1" shapeId="0" xr:uid="{031C0256-B6FD-4E12-9E4D-C55BCFB37CEF}">
      <text>
        <r>
          <rPr>
            <b/>
            <sz val="9"/>
            <color indexed="81"/>
            <rFont val="Tahoma"/>
            <family val="2"/>
          </rPr>
          <t>Author:</t>
        </r>
        <r>
          <rPr>
            <sz val="9"/>
            <color indexed="81"/>
            <rFont val="Tahoma"/>
            <family val="2"/>
          </rPr>
          <t xml:space="preserve">
rate of neutron injection caused by neutron injection</t>
        </r>
      </text>
    </comment>
    <comment ref="L33" authorId="0" shapeId="0" xr:uid="{F1C4AD24-9F64-4749-94CE-06AFC216B7F2}">
      <text>
        <r>
          <rPr>
            <b/>
            <sz val="9"/>
            <color indexed="81"/>
            <rFont val="Tahoma"/>
            <family val="2"/>
          </rPr>
          <t>Fenix:</t>
        </r>
        <r>
          <rPr>
            <sz val="9"/>
            <color indexed="81"/>
            <rFont val="Tahoma"/>
            <family val="2"/>
          </rPr>
          <t xml:space="preserve">
Realistic efficiency achieved is substantially &lt;50% due to fissile dilution and product quenching reaction</t>
        </r>
      </text>
    </comment>
    <comment ref="I38" authorId="0" shapeId="0" xr:uid="{4C08C87B-0090-4FF2-BB94-2EA3E89D36CF}">
      <text>
        <r>
          <rPr>
            <b/>
            <sz val="9"/>
            <color indexed="81"/>
            <rFont val="Tahoma"/>
            <family val="2"/>
          </rPr>
          <t>Fenix:</t>
        </r>
        <r>
          <rPr>
            <sz val="9"/>
            <color indexed="81"/>
            <rFont val="Tahoma"/>
            <family val="2"/>
          </rPr>
          <t xml:space="preserve">
S.F. short for safety factor.</t>
        </r>
      </text>
    </comment>
    <comment ref="G45" authorId="0" shapeId="0" xr:uid="{9FC646C3-D4E4-4190-8559-F73B262804DC}">
      <text>
        <r>
          <rPr>
            <b/>
            <sz val="9"/>
            <color indexed="81"/>
            <rFont val="Tahoma"/>
            <family val="2"/>
          </rPr>
          <t>Fenix:</t>
        </r>
        <r>
          <rPr>
            <sz val="9"/>
            <color indexed="81"/>
            <rFont val="Tahoma"/>
            <family val="2"/>
          </rPr>
          <t xml:space="preserve">
Depends upon the exact implosion scheme used: leviated pits tends to have better efficiency</t>
        </r>
      </text>
    </comment>
    <comment ref="F51" authorId="0" shapeId="0" xr:uid="{E82BFDD9-6571-4383-A77F-3E0586D7A69B}">
      <text>
        <r>
          <rPr>
            <b/>
            <sz val="9"/>
            <color indexed="81"/>
            <rFont val="Tahoma"/>
            <family val="2"/>
          </rPr>
          <t>Fenix:</t>
        </r>
        <r>
          <rPr>
            <sz val="9"/>
            <color indexed="81"/>
            <rFont val="Tahoma"/>
            <family val="2"/>
          </rPr>
          <t xml:space="preserve">
physical compression without regard to material property change during compression (e.g.Pu-239)</t>
        </r>
      </text>
    </comment>
    <comment ref="H51" authorId="0" shapeId="0" xr:uid="{912243F2-F8D9-446F-92A7-26C724271EF0}">
      <text>
        <r>
          <rPr>
            <b/>
            <sz val="9"/>
            <color indexed="81"/>
            <rFont val="Tahoma"/>
            <family val="2"/>
          </rPr>
          <t>Fenix:</t>
        </r>
        <r>
          <rPr>
            <sz val="9"/>
            <color indexed="81"/>
            <rFont val="Tahoma"/>
            <family val="2"/>
          </rPr>
          <t xml:space="preserve">
Compression taking into account the phase change of material involved.</t>
        </r>
      </text>
    </comment>
    <comment ref="F54" authorId="1" shapeId="0" xr:uid="{3F7F828E-BC30-46F6-A14B-CE9B9404A924}">
      <text>
        <r>
          <rPr>
            <b/>
            <sz val="9"/>
            <color indexed="81"/>
            <rFont val="Tahoma"/>
            <family val="2"/>
          </rPr>
          <t>Author:</t>
        </r>
        <r>
          <rPr>
            <sz val="9"/>
            <color indexed="81"/>
            <rFont val="Tahoma"/>
            <family val="2"/>
          </rPr>
          <t xml:space="preserve">
rate of neutron injection caused by neutron injection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D9" authorId="0" shapeId="0" xr:uid="{E09E5584-B709-4863-A87F-4D02B575AF31}">
      <text>
        <r>
          <rPr>
            <b/>
            <sz val="9"/>
            <color indexed="81"/>
            <rFont val="Tahoma"/>
            <family val="2"/>
          </rPr>
          <t>Fenix:</t>
        </r>
        <r>
          <rPr>
            <sz val="9"/>
            <color indexed="81"/>
            <rFont val="Tahoma"/>
            <family val="2"/>
          </rPr>
          <t xml:space="preserve">
Note: Criticality isn't guaranteed below approx.70%</t>
        </r>
      </text>
    </comment>
    <comment ref="C12" authorId="0" shapeId="0" xr:uid="{4662A6E7-F2B0-46C1-A378-24A7DB375BBA}">
      <text>
        <r>
          <rPr>
            <b/>
            <sz val="9"/>
            <color indexed="81"/>
            <rFont val="Tahoma"/>
            <family val="2"/>
          </rPr>
          <t>Fenix:</t>
        </r>
        <r>
          <rPr>
            <sz val="9"/>
            <color indexed="81"/>
            <rFont val="Tahoma"/>
            <family val="2"/>
          </rPr>
          <t xml:space="preserve">
Note:Coolant neutron-capture isn't modeled and therefore must be checked against manually. If unsure, use existing design as reference</t>
        </r>
      </text>
    </comment>
    <comment ref="C14" authorId="0" shapeId="0" xr:uid="{9B161E95-D44B-4A4A-AC6A-ACACBD80C88E}">
      <text>
        <r>
          <rPr>
            <b/>
            <sz val="9"/>
            <color indexed="81"/>
            <rFont val="Tahoma"/>
            <family val="2"/>
          </rPr>
          <t>Fenix:</t>
        </r>
        <r>
          <rPr>
            <sz val="9"/>
            <color indexed="81"/>
            <rFont val="Tahoma"/>
            <family val="2"/>
          </rPr>
          <t xml:space="preserve">
mach speed.</t>
        </r>
      </text>
    </comment>
    <comment ref="C22" authorId="0" shapeId="0" xr:uid="{0DAA0367-36A2-4ACF-9866-BC48170D8588}">
      <text>
        <r>
          <rPr>
            <b/>
            <sz val="9"/>
            <color indexed="81"/>
            <rFont val="Tahoma"/>
            <family val="2"/>
          </rPr>
          <t>Fenix:</t>
        </r>
        <r>
          <rPr>
            <sz val="9"/>
            <color indexed="81"/>
            <rFont val="Tahoma"/>
            <family val="2"/>
          </rPr>
          <t xml:space="preserve">
165W/kg is typical for thermoelectric converters
SSME turbopump ~150kw/kg
Aircraft turboshaft 5.67-10kw/kg
</t>
        </r>
      </text>
    </comment>
    <comment ref="H23" authorId="0" shapeId="0" xr:uid="{887CED4D-E548-423E-AA43-EE5FBA49614C}">
      <text>
        <r>
          <rPr>
            <b/>
            <sz val="9"/>
            <color indexed="81"/>
            <rFont val="Tahoma"/>
            <family val="2"/>
          </rPr>
          <t>Fenix:</t>
        </r>
        <r>
          <rPr>
            <sz val="9"/>
            <color indexed="81"/>
            <rFont val="Tahoma"/>
            <family val="2"/>
          </rPr>
          <t xml:space="preserve">
Also known as </t>
        </r>
        <r>
          <rPr>
            <b/>
            <sz val="9"/>
            <color indexed="81"/>
            <rFont val="Tahoma"/>
            <family val="2"/>
          </rPr>
          <t>Chambadal-Novikov-Curzon-Ahlborn efficiency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B2" authorId="0" shapeId="0" xr:uid="{ABC412BF-0F64-4F47-A62A-BA79D08FE4D9}">
      <text>
        <r>
          <rPr>
            <b/>
            <sz val="9"/>
            <color indexed="81"/>
            <rFont val="Tahoma"/>
            <family val="2"/>
          </rPr>
          <t>Fenix:</t>
        </r>
        <r>
          <rPr>
            <sz val="9"/>
            <color indexed="81"/>
            <rFont val="Tahoma"/>
            <family val="2"/>
          </rPr>
          <t xml:space="preserve">
Technically any target can be detected given sufficient integration time. However in a military setting this might not be possible (lack of processing and/or limited time budget). Therefore this model is not accurate for strategical sensor and is only meant for tactical sensors.</t>
        </r>
      </text>
    </comment>
    <comment ref="H6" authorId="0" shapeId="0" xr:uid="{C8EA316A-B752-4FDA-8A87-F1FBF997D625}">
      <text>
        <r>
          <rPr>
            <b/>
            <sz val="9"/>
            <color indexed="81"/>
            <rFont val="Tahoma"/>
            <family val="2"/>
          </rPr>
          <t>Fenix:</t>
        </r>
        <r>
          <rPr>
            <sz val="9"/>
            <color indexed="81"/>
            <rFont val="Tahoma"/>
            <family val="2"/>
          </rPr>
          <t xml:space="preserve">
Typical values for a centimeter wave radar are:
Insect: 0.00001 m²
Bird: 0.01 m²
Stealth aircraft: &lt;0.1 m²
Surface-to-air-missile: ≈0.1 m²
Human: 1 m²
small combat aircraft: 2–3 m²
large combat aircraft: 5–6 m²
Cargo aircraft: up to 100 m²
Coastal trading vessel (55 m length): 300–4000 m²
Corner reflector with 1.5 m edge length: ≈20,000 m²
Frigate (103 m length): 5000–100,000 m²
Container ship (212 m length): 10,000–80,000 m²
--wikipedia, retrieved 10/30/2019, page "Radar Cross Section"</t>
        </r>
      </text>
    </comment>
    <comment ref="D7" authorId="0" shapeId="0" xr:uid="{FD294F22-BC51-448C-9CBA-D92EF1D95D43}">
      <text>
        <r>
          <rPr>
            <b/>
            <sz val="9"/>
            <color indexed="81"/>
            <rFont val="Tahoma"/>
            <family val="2"/>
          </rPr>
          <t>Fenix:</t>
        </r>
        <r>
          <rPr>
            <sz val="9"/>
            <color indexed="81"/>
            <rFont val="Tahoma"/>
            <family val="2"/>
          </rPr>
          <t xml:space="preserve">
0.65 is typical of common radar systems
</t>
        </r>
      </text>
    </comment>
    <comment ref="W7" authorId="0" shapeId="0" xr:uid="{0BB5E2EB-C39D-4EB0-B299-219E1BD0A80C}">
      <text>
        <r>
          <rPr>
            <b/>
            <sz val="9"/>
            <color indexed="81"/>
            <rFont val="Tahoma"/>
            <family val="2"/>
          </rPr>
          <t>Fenix:</t>
        </r>
        <r>
          <rPr>
            <sz val="9"/>
            <color indexed="81"/>
            <rFont val="Tahoma"/>
            <family val="2"/>
          </rPr>
          <t xml:space="preserve">
Power Oscilating Transmitter</t>
        </r>
      </text>
    </comment>
    <comment ref="D8" authorId="0" shapeId="0" xr:uid="{72181EEA-E8F7-4CC3-9CA2-202DA2466782}">
      <text>
        <r>
          <rPr>
            <b/>
            <sz val="9"/>
            <color indexed="81"/>
            <rFont val="Tahoma"/>
            <family val="2"/>
          </rPr>
          <t>Fenix:</t>
        </r>
        <r>
          <rPr>
            <sz val="9"/>
            <color indexed="81"/>
            <rFont val="Tahoma"/>
            <family val="2"/>
          </rPr>
          <t xml:space="preserve">
approx 3-30 for modern radar</t>
        </r>
      </text>
    </comment>
    <comment ref="C10" authorId="0" shapeId="0" xr:uid="{9B70F58A-2755-4CB3-91AB-6596D4948087}">
      <text>
        <r>
          <rPr>
            <b/>
            <sz val="9"/>
            <color indexed="81"/>
            <rFont val="Tahoma"/>
            <family val="2"/>
          </rPr>
          <t>Fenix:</t>
        </r>
        <r>
          <rPr>
            <sz val="9"/>
            <color indexed="81"/>
            <rFont val="Tahoma"/>
            <family val="2"/>
          </rPr>
          <t xml:space="preserve">
discernable band of radio wave of the radar revceiver</t>
        </r>
      </text>
    </comment>
    <comment ref="W11" authorId="0" shapeId="0" xr:uid="{71957A6E-1F57-467D-900B-F93387684732}">
      <text>
        <r>
          <rPr>
            <b/>
            <sz val="9"/>
            <color indexed="81"/>
            <rFont val="Tahoma"/>
            <family val="2"/>
          </rPr>
          <t>Fenix:</t>
        </r>
        <r>
          <rPr>
            <sz val="9"/>
            <color indexed="81"/>
            <rFont val="Tahoma"/>
            <family val="2"/>
          </rPr>
          <t xml:space="preserve">
Power Amplifier Transmitter</t>
        </r>
      </text>
    </comment>
    <comment ref="C12" authorId="0" shapeId="0" xr:uid="{ADBA4D07-271B-4156-B1AC-C4DC2FC80A04}">
      <text>
        <r>
          <rPr>
            <b/>
            <sz val="9"/>
            <color indexed="81"/>
            <rFont val="Tahoma"/>
            <family val="2"/>
          </rPr>
          <t>Fenix:</t>
        </r>
        <r>
          <rPr>
            <sz val="9"/>
            <color indexed="81"/>
            <rFont val="Tahoma"/>
            <family val="2"/>
          </rPr>
          <t xml:space="preserve">
For intrapulse modulation only, the range that frequency will shift for intrapulse modulation
Most antenna technologies can support operation over a frequency range that is 5 to 10% of the central frequency (e.g., 100 to 200 MHz bandwidth at 2 GHz) due to their resonance characteristics. To achieve wide-band operation requires specialized antenna technologies</t>
        </r>
      </text>
    </comment>
    <comment ref="H23" authorId="0" shapeId="0" xr:uid="{64279880-E72B-4CC0-99F6-78F0745166B1}">
      <text>
        <r>
          <rPr>
            <b/>
            <sz val="9"/>
            <color indexed="81"/>
            <rFont val="Tahoma"/>
            <family val="2"/>
          </rPr>
          <t>Fenix:</t>
        </r>
        <r>
          <rPr>
            <sz val="9"/>
            <color indexed="81"/>
            <rFont val="Tahoma"/>
            <family val="2"/>
          </rPr>
          <t xml:space="preserve">
Mininal range difference for radar to differentiate differing targets</t>
        </r>
      </text>
    </comment>
    <comment ref="D30" authorId="0" shapeId="0" xr:uid="{8A7E8FC1-EE0E-4466-8734-08C2111AE5E4}">
      <text>
        <r>
          <rPr>
            <b/>
            <sz val="9"/>
            <color indexed="81"/>
            <rFont val="Tahoma"/>
            <family val="2"/>
          </rPr>
          <t>Fenix:</t>
        </r>
        <r>
          <rPr>
            <sz val="9"/>
            <color indexed="81"/>
            <rFont val="Tahoma"/>
            <family val="2"/>
          </rPr>
          <t xml:space="preserve">
fraction of a duty cycle used for transmitting, rest for listening
</t>
        </r>
      </text>
    </comment>
    <comment ref="H45" authorId="0" shapeId="0" xr:uid="{C0E85EEB-A9D0-4E85-B92E-B4018C5FA589}">
      <text>
        <r>
          <rPr>
            <b/>
            <sz val="9"/>
            <color indexed="81"/>
            <rFont val="Tahoma"/>
            <family val="2"/>
          </rPr>
          <t>Fenix:</t>
        </r>
        <r>
          <rPr>
            <sz val="9"/>
            <color indexed="81"/>
            <rFont val="Tahoma"/>
            <family val="2"/>
          </rPr>
          <t xml:space="preserve">
Detection Band defaulted to peak spectral radiance per unit wavelength</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J6" authorId="0" shapeId="0" xr:uid="{7A20A0AD-175B-486E-944D-76D61ED0989B}">
      <text>
        <r>
          <rPr>
            <b/>
            <sz val="9"/>
            <color indexed="81"/>
            <rFont val="Tahoma"/>
            <family val="2"/>
          </rPr>
          <t>Fenix:</t>
        </r>
        <r>
          <rPr>
            <sz val="9"/>
            <color indexed="81"/>
            <rFont val="Tahoma"/>
            <family val="2"/>
          </rPr>
          <t xml:space="preserve">
Here we provide three model of the final projectile velocity, and fit the barrel pressure curve to the final corrected analytical model. 
Powder performance may not reflect real world powder situations as many factors are not included including shape-effect of the diminishing surface area of gunpowder, different powder geometry and the inter-dependency of adiabatic gas index, flame speed ,pressure and chemical equilibrium.
We assume complete combustion and average adiabatic index. Thus this calculation is best regarded as a "back of the envelope" estimation, as is much of the spreadsheet.</t>
        </r>
      </text>
    </comment>
    <comment ref="C7" authorId="0" shapeId="0" xr:uid="{BD340B48-298E-4AF4-9640-B1090279BAA3}">
      <text>
        <r>
          <rPr>
            <b/>
            <sz val="9"/>
            <color indexed="81"/>
            <rFont val="Tahoma"/>
            <family val="2"/>
          </rPr>
          <t>Fenix:</t>
        </r>
        <r>
          <rPr>
            <sz val="9"/>
            <color indexed="81"/>
            <rFont val="Tahoma"/>
            <family val="2"/>
          </rPr>
          <t xml:space="preserve">
Breech face radius, need to be larger than bullet radius.</t>
        </r>
      </text>
    </comment>
    <comment ref="C8" authorId="0" shapeId="0" xr:uid="{24EE14EC-8625-4FD2-97B7-04DB13BD1A10}">
      <text>
        <r>
          <rPr>
            <b/>
            <sz val="9"/>
            <color indexed="81"/>
            <rFont val="Tahoma"/>
            <family val="2"/>
          </rPr>
          <t>Fenix:</t>
        </r>
        <r>
          <rPr>
            <sz val="9"/>
            <color indexed="81"/>
            <rFont val="Tahoma"/>
            <family val="2"/>
          </rPr>
          <t xml:space="preserve">
Radius of bullet and gun-barrel</t>
        </r>
      </text>
    </comment>
    <comment ref="C11" authorId="0" shapeId="0" xr:uid="{0F5751FA-7007-4963-80F8-AE976E9FAE25}">
      <text>
        <r>
          <rPr>
            <b/>
            <sz val="9"/>
            <color indexed="81"/>
            <rFont val="Tahoma"/>
            <family val="2"/>
          </rPr>
          <t>Fenix:</t>
        </r>
        <r>
          <rPr>
            <sz val="9"/>
            <color indexed="81"/>
            <rFont val="Tahoma"/>
            <family val="2"/>
          </rPr>
          <t xml:space="preserve">
Length of the barrel measured from the base of seated projectile</t>
        </r>
      </text>
    </comment>
    <comment ref="C22" authorId="1" shapeId="0" xr:uid="{B315E8A9-85A4-4600-A7F2-13DF5036A3F4}">
      <text>
        <r>
          <rPr>
            <b/>
            <sz val="9"/>
            <color indexed="81"/>
            <rFont val="Tahoma"/>
            <family val="2"/>
          </rPr>
          <t>Author:</t>
        </r>
        <r>
          <rPr>
            <sz val="9"/>
            <color indexed="81"/>
            <rFont val="Tahoma"/>
            <family val="2"/>
          </rPr>
          <t xml:space="preserve">
Fine tuning constant
tune this so Le Duc gives same result as improved analytical</t>
        </r>
      </text>
    </comment>
    <comment ref="L22" authorId="1" shapeId="0" xr:uid="{5A39AF44-93B7-4863-A764-F07EF1DB3B80}">
      <text>
        <r>
          <rPr>
            <b/>
            <sz val="9"/>
            <color indexed="81"/>
            <rFont val="Tahoma"/>
            <family val="2"/>
          </rPr>
          <t>Author:</t>
        </r>
        <r>
          <rPr>
            <sz val="9"/>
            <color indexed="81"/>
            <rFont val="Tahoma"/>
            <family val="2"/>
          </rPr>
          <t xml:space="preserve">
Thornhill approximation</t>
        </r>
      </text>
    </comment>
    <comment ref="C36" authorId="1" shapeId="0" xr:uid="{319BFDB8-E2BA-4FB7-B672-A2AE2C79AB36}">
      <text>
        <r>
          <rPr>
            <b/>
            <sz val="9"/>
            <color indexed="81"/>
            <rFont val="Tahoma"/>
            <family val="2"/>
          </rPr>
          <t>Author:</t>
        </r>
        <r>
          <rPr>
            <sz val="9"/>
            <color indexed="81"/>
            <rFont val="Tahoma"/>
            <family val="2"/>
          </rPr>
          <t xml:space="preserve">
Assuming solid homogenous cylinder</t>
        </r>
      </text>
    </comment>
    <comment ref="A38" authorId="1" shapeId="0" xr:uid="{97479E6F-0CEC-4F68-B7B1-2338E611936B}">
      <text>
        <r>
          <rPr>
            <b/>
            <sz val="9"/>
            <color indexed="81"/>
            <rFont val="Tahoma"/>
            <family val="2"/>
          </rPr>
          <t>Author:</t>
        </r>
        <r>
          <rPr>
            <sz val="9"/>
            <color indexed="81"/>
            <rFont val="Tahoma"/>
            <family val="2"/>
          </rPr>
          <t xml:space="preserve">
Model designed to contain burnout by changing powder load density &amp; burn rate.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H6" authorId="0" shapeId="0" xr:uid="{2EA03848-00F8-4828-B974-DE9C275667DF}">
      <text>
        <r>
          <rPr>
            <b/>
            <sz val="9"/>
            <color indexed="81"/>
            <rFont val="Tahoma"/>
            <family val="2"/>
          </rPr>
          <t>Fenix:</t>
        </r>
        <r>
          <rPr>
            <sz val="9"/>
            <color indexed="81"/>
            <rFont val="Tahoma"/>
            <family val="2"/>
          </rPr>
          <t xml:space="preserve">
assuming 10% KE-&gt;heat</t>
        </r>
      </text>
    </comment>
    <comment ref="J7" authorId="0" shapeId="0" xr:uid="{2F7246AF-63AE-4E48-9521-E9FACA6CD554}">
      <text>
        <r>
          <rPr>
            <b/>
            <sz val="9"/>
            <color indexed="81"/>
            <rFont val="Tahoma"/>
            <family val="2"/>
          </rPr>
          <t>Fenix:</t>
        </r>
        <r>
          <rPr>
            <sz val="9"/>
            <color indexed="81"/>
            <rFont val="Tahoma"/>
            <family val="2"/>
          </rPr>
          <t xml:space="preserve">
Ideal Square-bore single-turn gun would have about 0.6 μH/m
</t>
        </r>
      </text>
    </comment>
    <comment ref="I26" authorId="0" shapeId="0" xr:uid="{321FD2C2-456D-46C0-984F-65FB9EA56F5D}">
      <text>
        <r>
          <rPr>
            <b/>
            <sz val="9"/>
            <color indexed="81"/>
            <rFont val="Tahoma"/>
            <family val="2"/>
          </rPr>
          <t>Fenix:</t>
        </r>
        <r>
          <rPr>
            <sz val="9"/>
            <color indexed="81"/>
            <rFont val="Tahoma"/>
            <family val="2"/>
          </rPr>
          <t xml:space="preserve">
Total rail Moment of Inertia</t>
        </r>
      </text>
    </comment>
    <comment ref="I28" authorId="0" shapeId="0" xr:uid="{494D691B-379E-4625-B162-21F8C0A25AB4}">
      <text>
        <r>
          <rPr>
            <b/>
            <sz val="9"/>
            <color indexed="81"/>
            <rFont val="Tahoma"/>
            <family val="2"/>
          </rPr>
          <t>Fenix:</t>
        </r>
        <r>
          <rPr>
            <sz val="9"/>
            <color indexed="81"/>
            <rFont val="Tahoma"/>
            <family val="2"/>
          </rPr>
          <t xml:space="preserve">
Rail heat jump per shot fired. </t>
        </r>
      </text>
    </comment>
    <comment ref="N34" authorId="0" shapeId="0" xr:uid="{29A0EF57-B5D6-42E4-9BB6-F95768931CC6}">
      <text>
        <r>
          <rPr>
            <b/>
            <sz val="9"/>
            <color indexed="81"/>
            <rFont val="Tahoma"/>
            <family val="2"/>
          </rPr>
          <t>Fenix:</t>
        </r>
        <r>
          <rPr>
            <sz val="9"/>
            <color indexed="81"/>
            <rFont val="Tahoma"/>
            <family val="2"/>
          </rPr>
          <t xml:space="preserve">
Mass of the generator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M5" authorId="0" shapeId="0" xr:uid="{8A00394F-9D2B-406C-B64F-EEA4F32A748E}">
      <text>
        <r>
          <rPr>
            <b/>
            <sz val="9"/>
            <color indexed="81"/>
            <rFont val="Tahoma"/>
            <family val="2"/>
          </rPr>
          <t>Fenix:</t>
        </r>
        <r>
          <rPr>
            <sz val="9"/>
            <color indexed="81"/>
            <rFont val="Tahoma"/>
            <family val="2"/>
          </rPr>
          <t xml:space="preserve">
20MV/m for non-superconducting. 40MV/m for superconducting 
Niodium Cavity.</t>
        </r>
      </text>
    </comment>
    <comment ref="M6" authorId="0" shapeId="0" xr:uid="{D2499A5B-DAA8-4799-BE8D-5D13B84BA2B7}">
      <text>
        <r>
          <rPr>
            <b/>
            <sz val="9"/>
            <color indexed="81"/>
            <rFont val="Tahoma"/>
            <family val="2"/>
          </rPr>
          <t>Fenix:</t>
        </r>
        <r>
          <rPr>
            <sz val="9"/>
            <color indexed="81"/>
            <rFont val="Tahoma"/>
            <family val="2"/>
          </rPr>
          <t xml:space="preserve">
non-superconducting:
60kg/m (BEAR)
superconducting:
130kg/m and up</t>
        </r>
      </text>
    </comment>
    <comment ref="Q21" authorId="0" shapeId="0" xr:uid="{2BEAA928-1A6D-421E-AC1B-DE0BB941E4D1}">
      <text>
        <r>
          <rPr>
            <b/>
            <sz val="9"/>
            <color indexed="81"/>
            <rFont val="Tahoma"/>
            <family val="2"/>
          </rPr>
          <t>Fenix:</t>
        </r>
        <r>
          <rPr>
            <sz val="9"/>
            <color indexed="81"/>
            <rFont val="Tahoma"/>
            <family val="2"/>
          </rPr>
          <t xml:space="preserve">
Only accurate for particle energy &lt;10GeV</t>
        </r>
      </text>
    </comment>
    <comment ref="H25" authorId="0" shapeId="0" xr:uid="{8780B13A-7544-4096-BBA4-F5DDA9179B73}">
      <text>
        <r>
          <rPr>
            <b/>
            <sz val="9"/>
            <color indexed="81"/>
            <rFont val="Tahoma"/>
            <family val="2"/>
          </rPr>
          <t>Fenix:</t>
        </r>
        <r>
          <rPr>
            <sz val="9"/>
            <color indexed="81"/>
            <rFont val="Tahoma"/>
            <family val="2"/>
          </rPr>
          <t xml:space="preserve">
Engineering specifies bound changing of emittance.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H6" authorId="0" shapeId="0" xr:uid="{276803CC-4274-4662-A24D-C6B0CFF597E3}">
      <text>
        <r>
          <rPr>
            <b/>
            <sz val="9"/>
            <color indexed="81"/>
            <rFont val="Tahoma"/>
            <family val="2"/>
          </rPr>
          <t>Fenix:</t>
        </r>
        <r>
          <rPr>
            <sz val="9"/>
            <color indexed="81"/>
            <rFont val="Tahoma"/>
            <family val="2"/>
          </rPr>
          <t xml:space="preserve">
Solid Polymer Water Electrolysis</t>
        </r>
      </text>
    </comment>
    <comment ref="H8" authorId="0" shapeId="0" xr:uid="{19D66F02-0BD5-45DB-8717-FCB27ABD27A0}">
      <text>
        <r>
          <rPr>
            <b/>
            <sz val="9"/>
            <color indexed="81"/>
            <rFont val="Tahoma"/>
            <family val="2"/>
          </rPr>
          <t>Fenix:</t>
        </r>
        <r>
          <rPr>
            <sz val="9"/>
            <color indexed="81"/>
            <rFont val="Tahoma"/>
            <family val="2"/>
          </rPr>
          <t xml:space="preserve">
VAPOR COMPRESSION DISTILLATION</t>
        </r>
      </text>
    </comment>
    <comment ref="O11" authorId="0" shapeId="0" xr:uid="{7F61A10A-3C28-4BF7-A822-AED3A2B1497C}">
      <text>
        <r>
          <rPr>
            <b/>
            <sz val="9"/>
            <color indexed="81"/>
            <rFont val="Tahoma"/>
            <family val="2"/>
          </rPr>
          <t>Fenix:</t>
        </r>
        <r>
          <rPr>
            <sz val="9"/>
            <color indexed="81"/>
            <rFont val="Tahoma"/>
            <family val="2"/>
          </rPr>
          <t xml:space="preserve">
Solar average, modify for other suns.</t>
        </r>
      </text>
    </comment>
    <comment ref="C16" authorId="0" shapeId="0" xr:uid="{7072F89F-0FA3-49F2-A32C-59F14B67FDE3}">
      <text>
        <r>
          <rPr>
            <b/>
            <sz val="9"/>
            <color indexed="81"/>
            <rFont val="Tahoma"/>
            <family val="2"/>
          </rPr>
          <t>Fenix:</t>
        </r>
        <r>
          <rPr>
            <sz val="9"/>
            <color indexed="81"/>
            <rFont val="Tahoma"/>
            <family val="2"/>
          </rPr>
          <t xml:space="preserve">
Typically pressure of internal atmosphere greatly exceeds that of the effective pressure caused by acceleration. When unsure, increase Safety Factor to compensate. Real life marine vehicles have very high safety factor (i.e.&gt;10)</t>
        </r>
      </text>
    </comment>
    <comment ref="B21" authorId="0" shapeId="0" xr:uid="{2498E1E4-DEC0-42F8-89CE-D78DF4CCED7C}">
      <text>
        <r>
          <rPr>
            <b/>
            <sz val="9"/>
            <color indexed="81"/>
            <rFont val="Tahoma"/>
            <family val="2"/>
          </rPr>
          <t>Fenix:</t>
        </r>
        <r>
          <rPr>
            <sz val="9"/>
            <color indexed="81"/>
            <rFont val="Tahoma"/>
            <family val="2"/>
          </rPr>
          <t xml:space="preserve">
Combat Information Center, also acts as the storm cellar against S.P.E.</t>
        </r>
      </text>
    </comment>
    <comment ref="C22" authorId="0" shapeId="0" xr:uid="{86CB67FC-061F-407B-BBE6-D30BC2A4C133}">
      <text>
        <r>
          <rPr>
            <b/>
            <sz val="9"/>
            <color indexed="81"/>
            <rFont val="Tahoma"/>
            <family val="2"/>
          </rPr>
          <t>Fenix:</t>
        </r>
        <r>
          <rPr>
            <sz val="9"/>
            <color indexed="81"/>
            <rFont val="Tahoma"/>
            <family val="2"/>
          </rPr>
          <t xml:space="preserve">
2.7m^3 is close to a capsule hotel single person capsule.</t>
        </r>
      </text>
    </comment>
    <comment ref="C23" authorId="0" shapeId="0" xr:uid="{5882F42B-5CE3-48E2-9B07-7EA13E592B89}">
      <text>
        <r>
          <rPr>
            <b/>
            <sz val="9"/>
            <color indexed="81"/>
            <rFont val="Tahoma"/>
            <family val="2"/>
          </rPr>
          <t>Fenix:</t>
        </r>
        <r>
          <rPr>
            <sz val="9"/>
            <color indexed="81"/>
            <rFont val="Tahoma"/>
            <family val="2"/>
          </rPr>
          <t xml:space="preserve">
5000+ is necessary for protection against Major Solar Storm or Solar Particle Event.
4500+ for long term GCR protection
250+ is considered OK SPE shielding for Mission lasting about 1000-day</t>
        </r>
      </text>
    </comment>
    <comment ref="C24" authorId="0" shapeId="0" xr:uid="{2BC1F832-99C7-4FCA-A3ED-461D626E2CE4}">
      <text>
        <r>
          <rPr>
            <b/>
            <sz val="9"/>
            <color indexed="81"/>
            <rFont val="Tahoma"/>
            <family val="2"/>
          </rPr>
          <t>Fenix:</t>
        </r>
        <r>
          <rPr>
            <sz val="9"/>
            <color indexed="81"/>
            <rFont val="Tahoma"/>
            <family val="2"/>
          </rPr>
          <t xml:space="preserve">
CIC armor shielding</t>
        </r>
      </text>
    </comment>
    <comment ref="C27" authorId="0" shapeId="0" xr:uid="{99394613-8195-494D-B587-66CAB36A5B1F}">
      <text>
        <r>
          <rPr>
            <b/>
            <sz val="9"/>
            <color indexed="81"/>
            <rFont val="Tahoma"/>
            <family val="2"/>
          </rPr>
          <t>Fenix:</t>
        </r>
        <r>
          <rPr>
            <sz val="9"/>
            <color indexed="81"/>
            <rFont val="Tahoma"/>
            <family val="2"/>
          </rPr>
          <t xml:space="preserve">
Nasa Recommendation ranges from anywhere between 17-25.</t>
        </r>
      </text>
    </comment>
    <comment ref="C28" authorId="0" shapeId="0" xr:uid="{DADF3CB9-6D5E-4D4B-8BC1-76CB51663568}">
      <text>
        <r>
          <rPr>
            <b/>
            <sz val="9"/>
            <color indexed="81"/>
            <rFont val="Tahoma"/>
            <family val="2"/>
          </rPr>
          <t>Fenix:</t>
        </r>
        <r>
          <rPr>
            <sz val="9"/>
            <color indexed="81"/>
            <rFont val="Tahoma"/>
            <family val="2"/>
          </rPr>
          <t xml:space="preserve">
Includes external armoring, external propellant tanks, etc,etc</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I4" authorId="0" shapeId="0" xr:uid="{6824B9A8-E5C0-4145-89DB-690EE2C28FD0}">
      <text>
        <r>
          <rPr>
            <b/>
            <sz val="9"/>
            <color indexed="81"/>
            <rFont val="Tahoma"/>
            <family val="2"/>
          </rPr>
          <t>Fenix:</t>
        </r>
        <r>
          <rPr>
            <sz val="9"/>
            <color indexed="81"/>
            <rFont val="Tahoma"/>
            <family val="2"/>
          </rPr>
          <t xml:space="preserve">
Mass Growth Allowance</t>
        </r>
      </text>
    </comment>
    <comment ref="AC19" authorId="0" shapeId="0" xr:uid="{DB9739A7-2A4B-4F15-AE3B-6BA26BECAB7D}">
      <text>
        <r>
          <rPr>
            <b/>
            <sz val="9"/>
            <color indexed="81"/>
            <rFont val="Tahoma"/>
            <family val="2"/>
          </rPr>
          <t>Fenix:</t>
        </r>
        <r>
          <rPr>
            <sz val="9"/>
            <color indexed="81"/>
            <rFont val="Tahoma"/>
            <family val="2"/>
          </rPr>
          <t xml:space="preserve">
4.5MW/m^2 using carbon/tungsten Applicable to most thermal rockets</t>
        </r>
      </text>
    </comment>
    <comment ref="Y20" authorId="0" shapeId="0" xr:uid="{9E07E9D6-926B-4C8F-84DB-A91D645338EB}">
      <text>
        <r>
          <rPr>
            <b/>
            <sz val="9"/>
            <color indexed="81"/>
            <rFont val="Tahoma"/>
            <family val="2"/>
          </rPr>
          <t>Fenix:</t>
        </r>
        <r>
          <rPr>
            <sz val="9"/>
            <color indexed="81"/>
            <rFont val="Tahoma"/>
            <family val="2"/>
          </rPr>
          <t xml:space="preserve">
Use estimated engine radius as a yardstick. </t>
        </r>
      </text>
    </comment>
    <comment ref="AC20" authorId="0" shapeId="0" xr:uid="{3143FE23-F86E-4398-947E-B1BB7835F612}">
      <text>
        <r>
          <rPr>
            <b/>
            <sz val="9"/>
            <color indexed="81"/>
            <rFont val="Tahoma"/>
            <family val="2"/>
          </rPr>
          <t>Fenix:</t>
        </r>
        <r>
          <rPr>
            <sz val="9"/>
            <color indexed="81"/>
            <rFont val="Tahoma"/>
            <family val="2"/>
          </rPr>
          <t xml:space="preserve">
Magnetic confinement using Tungsten blade with 200:1 aspect ratio.
90GWm^-2. Applicable to certiain fusion/AM drives</t>
        </r>
      </text>
    </comment>
    <comment ref="J24" authorId="0" shapeId="0" xr:uid="{60668250-2C49-40A3-9F69-18D767C8142A}">
      <text>
        <r>
          <rPr>
            <b/>
            <sz val="9"/>
            <color indexed="81"/>
            <rFont val="Tahoma"/>
            <family val="2"/>
          </rPr>
          <t>Fenix:</t>
        </r>
        <r>
          <rPr>
            <sz val="9"/>
            <color indexed="81"/>
            <rFont val="Tahoma"/>
            <family val="2"/>
          </rPr>
          <t xml:space="preserve">
Ammo carried is shared between all guns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C9" authorId="0" shapeId="0" xr:uid="{1BA43FF2-6C07-4BB0-AFEA-9C69FA529047}">
      <text>
        <r>
          <rPr>
            <b/>
            <sz val="9"/>
            <color indexed="81"/>
            <rFont val="Tahoma"/>
            <family val="2"/>
          </rPr>
          <t>Fenix:</t>
        </r>
        <r>
          <rPr>
            <sz val="9"/>
            <color indexed="81"/>
            <rFont val="Tahoma"/>
            <family val="2"/>
          </rPr>
          <t xml:space="preserve">
How close the beam is to a Gaussian beam, Q&gt;=1.7 so that Q^2&gt;=3</t>
        </r>
      </text>
    </comment>
    <comment ref="J9" authorId="1" shapeId="0" xr:uid="{4A812EA3-7A07-4DDD-8FBF-102E7F680262}">
      <text>
        <r>
          <rPr>
            <b/>
            <sz val="9"/>
            <color indexed="81"/>
            <rFont val="Tahoma"/>
            <family val="2"/>
          </rPr>
          <t>Author:</t>
        </r>
        <r>
          <rPr>
            <sz val="9"/>
            <color indexed="81"/>
            <rFont val="Tahoma"/>
            <family val="2"/>
          </rPr>
          <t xml:space="preserve">
Note: CDE-&gt;1.25E-6
YAL-1 airborne laser: 25E-6 radian</t>
        </r>
      </text>
    </comment>
    <comment ref="B10" authorId="0" shapeId="0" xr:uid="{B5352332-0FC7-43B1-B55F-E6C51E26140E}">
      <text>
        <r>
          <rPr>
            <b/>
            <sz val="9"/>
            <color indexed="81"/>
            <rFont val="Tahoma"/>
            <family val="2"/>
          </rPr>
          <t>Fenix:</t>
        </r>
        <r>
          <rPr>
            <sz val="9"/>
            <color indexed="81"/>
            <rFont val="Tahoma"/>
            <family val="2"/>
          </rPr>
          <t xml:space="preserve">
0=use manual override</t>
        </r>
      </text>
    </comment>
    <comment ref="O10" authorId="1" shapeId="0" xr:uid="{71CFBC9E-9F59-46DD-9FDA-4DCD7B306C3A}">
      <text>
        <r>
          <rPr>
            <b/>
            <sz val="9"/>
            <color indexed="81"/>
            <rFont val="Tahoma"/>
            <family val="2"/>
          </rPr>
          <t>Author:</t>
        </r>
        <r>
          <rPr>
            <sz val="9"/>
            <color indexed="81"/>
            <rFont val="Tahoma"/>
            <family val="2"/>
          </rPr>
          <t xml:space="preserve">
Temp would reach if is blackbody &amp; does not melt.</t>
        </r>
      </text>
    </comment>
    <comment ref="O11" authorId="1" shapeId="0" xr:uid="{87572B06-3255-4855-8AB1-2C0AA34141E0}">
      <text>
        <r>
          <rPr>
            <b/>
            <sz val="9"/>
            <color indexed="81"/>
            <rFont val="Tahoma"/>
            <family val="2"/>
          </rPr>
          <t>Author:</t>
        </r>
        <r>
          <rPr>
            <sz val="9"/>
            <color indexed="81"/>
            <rFont val="Tahoma"/>
            <family val="2"/>
          </rPr>
          <t xml:space="preserve">
Temp would reach if is thick slab &amp; no melting</t>
        </r>
      </text>
    </comment>
    <comment ref="U11" authorId="0" shapeId="0" xr:uid="{74FC1599-CABD-4E4C-977C-B998F3252D24}">
      <text>
        <r>
          <rPr>
            <b/>
            <sz val="9"/>
            <color indexed="81"/>
            <rFont val="Tahoma"/>
            <family val="2"/>
          </rPr>
          <t>Fenix:</t>
        </r>
        <r>
          <rPr>
            <sz val="9"/>
            <color indexed="81"/>
            <rFont val="Tahoma"/>
            <family val="2"/>
          </rPr>
          <t xml:space="preserve">
contribution to drill rate caused by the laser melting and then pushing a molten jet of target material like a monroe jet (HEAT warhead)
Dominant effect at low intensity</t>
        </r>
      </text>
    </comment>
    <comment ref="O12" authorId="1" shapeId="0" xr:uid="{0D02317C-A5D5-407A-9E36-095A9CBE7833}">
      <text>
        <r>
          <rPr>
            <b/>
            <sz val="9"/>
            <color indexed="81"/>
            <rFont val="Tahoma"/>
            <family val="2"/>
          </rPr>
          <t>Author:</t>
        </r>
        <r>
          <rPr>
            <sz val="9"/>
            <color indexed="81"/>
            <rFont val="Tahoma"/>
            <family val="2"/>
          </rPr>
          <t xml:space="preserve">
The vapor interface tempreature is solved using Brents method, with the upper limit set here. If you get </t>
        </r>
        <r>
          <rPr>
            <b/>
            <sz val="9"/>
            <color indexed="81"/>
            <rFont val="Tahoma"/>
            <family val="2"/>
          </rPr>
          <t xml:space="preserve">assertion error, </t>
        </r>
        <r>
          <rPr>
            <sz val="9"/>
            <color indexed="81"/>
            <rFont val="Tahoma"/>
            <family val="2"/>
          </rPr>
          <t>adjust upwards. Default=1E4K</t>
        </r>
      </text>
    </comment>
    <comment ref="U12" authorId="0" shapeId="0" xr:uid="{9B9B0757-A638-4D1D-A8B2-E204BA4DE5C6}">
      <text>
        <r>
          <rPr>
            <b/>
            <sz val="9"/>
            <color indexed="81"/>
            <rFont val="Tahoma"/>
            <family val="2"/>
          </rPr>
          <t>Fenix:</t>
        </r>
        <r>
          <rPr>
            <sz val="9"/>
            <color indexed="81"/>
            <rFont val="Tahoma"/>
            <family val="2"/>
          </rPr>
          <t xml:space="preserve">
Contribution to the total drill rate due to direct vaporizing of target material
Dominant effect in normal laser range</t>
        </r>
      </text>
    </comment>
    <comment ref="U13" authorId="0" shapeId="0" xr:uid="{06C7E936-45B3-4EBC-BA5F-8CF180BB8734}">
      <text>
        <r>
          <rPr>
            <b/>
            <sz val="9"/>
            <color indexed="81"/>
            <rFont val="Tahoma"/>
            <family val="2"/>
          </rPr>
          <t>Fenix:</t>
        </r>
        <r>
          <rPr>
            <sz val="9"/>
            <color indexed="81"/>
            <rFont val="Tahoma"/>
            <family val="2"/>
          </rPr>
          <t xml:space="preserve">
Contribution to total drill rate due to laser literally shocking target material to explode. Relevent only at extreme irradiance</t>
        </r>
      </text>
    </comment>
    <comment ref="S15" authorId="0" shapeId="0" xr:uid="{68CBC4B1-CD5C-4FE8-B62A-128BDFB38C06}">
      <text>
        <r>
          <rPr>
            <b/>
            <sz val="9"/>
            <color indexed="81"/>
            <rFont val="Tahoma"/>
            <family val="2"/>
          </rPr>
          <t>Fenix:</t>
        </r>
        <r>
          <rPr>
            <sz val="9"/>
            <color indexed="81"/>
            <rFont val="Tahoma"/>
            <family val="2"/>
          </rPr>
          <t xml:space="preserve">
Waste heat that needs to be get rid of</t>
        </r>
      </text>
    </comment>
    <comment ref="S16" authorId="0" shapeId="0" xr:uid="{2641559F-D883-48E6-998D-941D6E9066E7}">
      <text>
        <r>
          <rPr>
            <b/>
            <sz val="9"/>
            <color indexed="81"/>
            <rFont val="Tahoma"/>
            <family val="2"/>
          </rPr>
          <t>Fenix:</t>
        </r>
        <r>
          <rPr>
            <sz val="9"/>
            <color indexed="81"/>
            <rFont val="Tahoma"/>
            <family val="2"/>
          </rPr>
          <t xml:space="preserve">
Performance estimation when using radiators</t>
        </r>
      </text>
    </comment>
    <comment ref="O18" authorId="1" shapeId="0" xr:uid="{F1AAA438-0FD9-484D-9B2C-B1C79E8CCD8C}">
      <text>
        <r>
          <rPr>
            <b/>
            <sz val="9"/>
            <color indexed="81"/>
            <rFont val="Tahoma"/>
            <family val="2"/>
          </rPr>
          <t>Author:</t>
        </r>
        <r>
          <rPr>
            <sz val="9"/>
            <color indexed="81"/>
            <rFont val="Tahoma"/>
            <family val="2"/>
          </rPr>
          <t xml:space="preserve">
Tempreature of melting spot</t>
        </r>
      </text>
    </comment>
    <comment ref="S18" authorId="0" shapeId="0" xr:uid="{00BC7554-1A5D-4A2F-A91C-75208EED4049}">
      <text>
        <r>
          <rPr>
            <b/>
            <sz val="9"/>
            <color indexed="81"/>
            <rFont val="Tahoma"/>
            <family val="2"/>
          </rPr>
          <t>Fenix:</t>
        </r>
        <r>
          <rPr>
            <sz val="9"/>
            <color indexed="81"/>
            <rFont val="Tahoma"/>
            <family val="2"/>
          </rPr>
          <t xml:space="preserve">
Performance estimation when using phase change cooler</t>
        </r>
      </text>
    </comment>
    <comment ref="O19" authorId="1" shapeId="0" xr:uid="{E132D764-CDED-4E40-B7A2-3CEE4F32DF81}">
      <text>
        <r>
          <rPr>
            <b/>
            <sz val="9"/>
            <color indexed="81"/>
            <rFont val="Tahoma"/>
            <family val="2"/>
          </rPr>
          <t>Author:</t>
        </r>
        <r>
          <rPr>
            <sz val="9"/>
            <color indexed="81"/>
            <rFont val="Tahoma"/>
            <family val="2"/>
          </rPr>
          <t xml:space="preserve">
Tempreature of vapor jet across Knudsen layer</t>
        </r>
      </text>
    </comment>
    <comment ref="O20" authorId="1" shapeId="0" xr:uid="{FC22976C-A348-4935-B5BA-006B37694FD0}">
      <text>
        <r>
          <rPr>
            <b/>
            <sz val="9"/>
            <color indexed="81"/>
            <rFont val="Tahoma"/>
            <family val="2"/>
          </rPr>
          <t>Author:</t>
        </r>
        <r>
          <rPr>
            <sz val="9"/>
            <color indexed="81"/>
            <rFont val="Tahoma"/>
            <family val="2"/>
          </rPr>
          <t xml:space="preserve">
Vapor pressure, corrected to current T
</t>
        </r>
      </text>
    </comment>
    <comment ref="C21" authorId="0" shapeId="0" xr:uid="{F13A0984-5614-44D0-92CA-5BD3B6BCD73E}">
      <text>
        <r>
          <rPr>
            <b/>
            <sz val="9"/>
            <color indexed="81"/>
            <rFont val="Tahoma"/>
            <family val="2"/>
          </rPr>
          <t>Fenix:</t>
        </r>
        <r>
          <rPr>
            <sz val="9"/>
            <color indexed="81"/>
            <rFont val="Tahoma"/>
            <family val="2"/>
          </rPr>
          <t xml:space="preserve">
ambient tempreature of the armor material</t>
        </r>
      </text>
    </comment>
    <comment ref="G21" authorId="1" shapeId="0" xr:uid="{E5C6A0F9-CED9-4813-B232-B3230407855A}">
      <text>
        <r>
          <rPr>
            <b/>
            <sz val="9"/>
            <color indexed="81"/>
            <rFont val="Tahoma"/>
            <family val="2"/>
          </rPr>
          <t>Author:</t>
        </r>
        <r>
          <rPr>
            <sz val="9"/>
            <color indexed="81"/>
            <rFont val="Tahoma"/>
            <family val="2"/>
          </rPr>
          <t xml:space="preserve">
Emissivity
Under intense radiation most metals flash to plasma, giving 0.6-0.8
</t>
        </r>
      </text>
    </comment>
    <comment ref="J21" authorId="0" shapeId="0" xr:uid="{09424465-9E8B-47B8-9677-6E0F4926AD5B}">
      <text>
        <r>
          <rPr>
            <b/>
            <sz val="9"/>
            <color indexed="81"/>
            <rFont val="Tahoma"/>
            <family val="2"/>
          </rPr>
          <t>Fenix:</t>
        </r>
        <r>
          <rPr>
            <sz val="9"/>
            <color indexed="81"/>
            <rFont val="Tahoma"/>
            <family val="2"/>
          </rPr>
          <t xml:space="preserve">
attempts to pull gamma from material reference table. Due to the incomplete nature of the data manual input is still required.</t>
        </r>
      </text>
    </comment>
    <comment ref="O21" authorId="1" shapeId="0" xr:uid="{269561F0-8F0E-45E5-969D-68609B38EA8D}">
      <text>
        <r>
          <rPr>
            <b/>
            <sz val="9"/>
            <color indexed="81"/>
            <rFont val="Tahoma"/>
            <family val="2"/>
          </rPr>
          <t>Author:</t>
        </r>
        <r>
          <rPr>
            <sz val="9"/>
            <color indexed="81"/>
            <rFont val="Tahoma"/>
            <family val="2"/>
          </rPr>
          <t xml:space="preserve">
Pressure of vapor jet</t>
        </r>
      </text>
    </comment>
    <comment ref="S21" authorId="0" shapeId="0" xr:uid="{84402C0A-2F0E-4013-9416-4EF3D3B41045}">
      <text>
        <r>
          <rPr>
            <b/>
            <sz val="9"/>
            <color indexed="81"/>
            <rFont val="Tahoma"/>
            <family val="2"/>
          </rPr>
          <t>Fenix:</t>
        </r>
        <r>
          <rPr>
            <sz val="9"/>
            <color indexed="81"/>
            <rFont val="Tahoma"/>
            <family val="2"/>
          </rPr>
          <t xml:space="preserve">
Breakeven point for the two different cooling method in terms of mass. phase evaporation equipment mass is not included and thus is biased towards phase change cooling.</t>
        </r>
      </text>
    </comment>
    <comment ref="C22" authorId="0" shapeId="0" xr:uid="{273A720E-DF33-42DE-BC50-5DE649FE522B}">
      <text>
        <r>
          <rPr>
            <b/>
            <sz val="9"/>
            <color indexed="81"/>
            <rFont val="Tahoma"/>
            <family val="2"/>
          </rPr>
          <t>Fenix:</t>
        </r>
        <r>
          <rPr>
            <sz val="9"/>
            <color indexed="81"/>
            <rFont val="Tahoma"/>
            <family val="2"/>
          </rPr>
          <t xml:space="preserve">
ambient pressure. Technically speaking space pressure is very low but for ease of numerical calculation a low enough value is used.</t>
        </r>
      </text>
    </comment>
    <comment ref="G22" authorId="1" shapeId="0" xr:uid="{1D949745-81B5-41A7-8FC4-3A3377EF2CC4}">
      <text>
        <r>
          <rPr>
            <b/>
            <sz val="9"/>
            <color indexed="81"/>
            <rFont val="Tahoma"/>
            <family val="2"/>
          </rPr>
          <t>Author:</t>
        </r>
        <r>
          <rPr>
            <sz val="9"/>
            <color indexed="81"/>
            <rFont val="Tahoma"/>
            <family val="2"/>
          </rPr>
          <t xml:space="preserve">
Adibatic Index when melted:
Mono-molecular: 5/3
Bi-molecular:1.4
more:approaching1</t>
        </r>
      </text>
    </comment>
    <comment ref="O22" authorId="1" shapeId="0" xr:uid="{456E1FF9-BC2B-43FF-8BF2-13E7C17EDB92}">
      <text>
        <r>
          <rPr>
            <b/>
            <sz val="9"/>
            <color indexed="81"/>
            <rFont val="Tahoma"/>
            <family val="2"/>
          </rPr>
          <t>Author:</t>
        </r>
        <r>
          <rPr>
            <sz val="9"/>
            <color indexed="81"/>
            <rFont val="Tahoma"/>
            <family val="2"/>
          </rPr>
          <t xml:space="preserve">
Surface Tension pressure</t>
        </r>
      </text>
    </comment>
    <comment ref="O23" authorId="1" shapeId="0" xr:uid="{A5764DD9-E994-4890-86E2-CBB9E749F244}">
      <text>
        <r>
          <rPr>
            <b/>
            <sz val="9"/>
            <color indexed="81"/>
            <rFont val="Tahoma"/>
            <family val="2"/>
          </rPr>
          <t>Author:</t>
        </r>
        <r>
          <rPr>
            <sz val="9"/>
            <color indexed="81"/>
            <rFont val="Tahoma"/>
            <family val="2"/>
          </rPr>
          <t xml:space="preserve">
Velocity of vapor jet, measured in mach
</t>
        </r>
      </text>
    </comment>
    <comment ref="H25" authorId="0" shapeId="0" xr:uid="{C3D3CDFA-721D-4F0C-966B-5AC473C8742C}">
      <text>
        <r>
          <rPr>
            <b/>
            <sz val="9"/>
            <color indexed="81"/>
            <rFont val="Tahoma"/>
            <family val="2"/>
          </rPr>
          <t>Fenix:</t>
        </r>
        <r>
          <rPr>
            <sz val="9"/>
            <color indexed="81"/>
            <rFont val="Tahoma"/>
            <family val="2"/>
          </rPr>
          <t xml:space="preserve">
Latent heat of fusion, if data unavailable under Material tab, will estimate using Pictet's rule(notoriously inaccurate)</t>
        </r>
      </text>
    </comment>
    <comment ref="O27" authorId="1" shapeId="0" xr:uid="{7BC38ED5-16FE-4AD0-AA92-30DEC3178573}">
      <text>
        <r>
          <rPr>
            <b/>
            <sz val="9"/>
            <color indexed="81"/>
            <rFont val="Tahoma"/>
            <family val="2"/>
          </rPr>
          <t>Author:</t>
        </r>
        <r>
          <rPr>
            <sz val="9"/>
            <color indexed="81"/>
            <rFont val="Tahoma"/>
            <family val="2"/>
          </rPr>
          <t xml:space="preserve">
Density of vapor at solid surface before Knudsen layer
</t>
        </r>
      </text>
    </comment>
    <comment ref="O28" authorId="1" shapeId="0" xr:uid="{8F804559-4999-4A0A-B3CC-3448B68C33A8}">
      <text>
        <r>
          <rPr>
            <b/>
            <sz val="9"/>
            <color indexed="81"/>
            <rFont val="Tahoma"/>
            <family val="2"/>
          </rPr>
          <t>Author:</t>
        </r>
        <r>
          <rPr>
            <sz val="9"/>
            <color indexed="81"/>
            <rFont val="Tahoma"/>
            <family val="2"/>
          </rPr>
          <t xml:space="preserve">
Density of vapor across Knudsen layer</t>
        </r>
      </text>
    </comment>
    <comment ref="H29" authorId="0" shapeId="0" xr:uid="{B02507B1-A8D5-48E8-BA39-6B6105106897}">
      <text>
        <r>
          <rPr>
            <b/>
            <sz val="9"/>
            <color indexed="81"/>
            <rFont val="Tahoma"/>
            <family val="2"/>
          </rPr>
          <t>Fenix:</t>
        </r>
        <r>
          <rPr>
            <sz val="9"/>
            <color indexed="81"/>
            <rFont val="Tahoma"/>
            <family val="2"/>
          </rPr>
          <t xml:space="preserve">
Latent heat of vaporization, will use Trouton's rule to estimate if data unavailable</t>
        </r>
      </text>
    </comment>
    <comment ref="O31" authorId="1" shapeId="0" xr:uid="{B7874810-1F72-4614-9E11-5967315A7193}">
      <text>
        <r>
          <rPr>
            <b/>
            <sz val="9"/>
            <color indexed="81"/>
            <rFont val="Tahoma"/>
            <family val="2"/>
          </rPr>
          <t>Author:</t>
        </r>
        <r>
          <rPr>
            <sz val="9"/>
            <color indexed="81"/>
            <rFont val="Tahoma"/>
            <family val="2"/>
          </rPr>
          <t xml:space="preserve">
Velocity of vapor jet,
</t>
        </r>
      </text>
    </comment>
    <comment ref="O32" authorId="1" shapeId="0" xr:uid="{C04252F8-6DDE-425E-8AD7-3222E422D03A}">
      <text>
        <r>
          <rPr>
            <b/>
            <sz val="9"/>
            <color indexed="81"/>
            <rFont val="Tahoma"/>
            <family val="2"/>
          </rPr>
          <t>Author:</t>
        </r>
        <r>
          <rPr>
            <sz val="9"/>
            <color indexed="81"/>
            <rFont val="Tahoma"/>
            <family val="2"/>
          </rPr>
          <t xml:space="preserve">
Rate of melt front (</t>
        </r>
        <r>
          <rPr>
            <b/>
            <i/>
            <u/>
            <sz val="9"/>
            <color indexed="81"/>
            <rFont val="Tahoma"/>
            <family val="2"/>
          </rPr>
          <t>I</t>
        </r>
        <r>
          <rPr>
            <sz val="9"/>
            <color indexed="81"/>
            <rFont val="Tahoma"/>
            <family val="2"/>
          </rPr>
          <t>nterface)propagation due to vaporization</t>
        </r>
      </text>
    </comment>
    <comment ref="C36" authorId="1" shapeId="0" xr:uid="{F39F7897-7EB0-471F-9E60-09147DD816C7}">
      <text>
        <r>
          <rPr>
            <b/>
            <sz val="9"/>
            <color indexed="81"/>
            <rFont val="Tahoma"/>
            <family val="2"/>
          </rPr>
          <t>Author:</t>
        </r>
        <r>
          <rPr>
            <sz val="9"/>
            <color indexed="81"/>
            <rFont val="Tahoma"/>
            <family val="2"/>
          </rPr>
          <t xml:space="preserve">
Estimated Viscosity coefficient</t>
        </r>
      </text>
    </comment>
    <comment ref="C37" authorId="1" shapeId="0" xr:uid="{9C79978F-D38C-439A-9038-C9B0858EE1EC}">
      <text>
        <r>
          <rPr>
            <b/>
            <sz val="9"/>
            <color indexed="81"/>
            <rFont val="Tahoma"/>
            <family val="2"/>
          </rPr>
          <t>Author:</t>
        </r>
        <r>
          <rPr>
            <sz val="9"/>
            <color indexed="81"/>
            <rFont val="Tahoma"/>
            <family val="2"/>
          </rPr>
          <t xml:space="preserve">
Surface Tension Coefficient , Estimated using Eötvös rule
Note, as there is a high degree of data lacking,therefore expect ~30% or larger error</t>
        </r>
      </text>
    </comment>
    <comment ref="C38" authorId="1" shapeId="0" xr:uid="{6E11D56F-C580-4F2A-90C9-8462ABC2E296}">
      <text>
        <r>
          <rPr>
            <b/>
            <sz val="9"/>
            <color indexed="81"/>
            <rFont val="Tahoma"/>
            <family val="2"/>
          </rPr>
          <t>Author:</t>
        </r>
        <r>
          <rPr>
            <sz val="9"/>
            <color indexed="81"/>
            <rFont val="Tahoma"/>
            <family val="2"/>
          </rPr>
          <t xml:space="preserve">
Bulk Modulus</t>
        </r>
      </text>
    </comment>
    <comment ref="O38" authorId="1" shapeId="0" xr:uid="{9D7E8527-BFF0-44DE-BA81-B891D17E3E08}">
      <text>
        <r>
          <rPr>
            <b/>
            <sz val="9"/>
            <color indexed="81"/>
            <rFont val="Tahoma"/>
            <family val="2"/>
          </rPr>
          <t>Author:</t>
        </r>
        <r>
          <rPr>
            <sz val="9"/>
            <color indexed="81"/>
            <rFont val="Tahoma"/>
            <family val="2"/>
          </rPr>
          <t xml:space="preserve">
Depth of melt-layer</t>
        </r>
      </text>
    </comment>
    <comment ref="C39" authorId="1" shapeId="0" xr:uid="{8D22A278-1694-457D-8B9C-B256E4225A14}">
      <text>
        <r>
          <rPr>
            <b/>
            <sz val="9"/>
            <color indexed="81"/>
            <rFont val="Tahoma"/>
            <family val="2"/>
          </rPr>
          <t>Author:</t>
        </r>
        <r>
          <rPr>
            <sz val="9"/>
            <color indexed="81"/>
            <rFont val="Tahoma"/>
            <family val="2"/>
          </rPr>
          <t xml:space="preserve">
(Ultimate) Tensile Strength
</t>
        </r>
      </text>
    </comment>
    <comment ref="O39" authorId="1" shapeId="0" xr:uid="{4419DE94-4930-4BDF-9DEA-4739BC164985}">
      <text>
        <r>
          <rPr>
            <b/>
            <sz val="9"/>
            <color indexed="81"/>
            <rFont val="Tahoma"/>
            <family val="2"/>
          </rPr>
          <t>Author:</t>
        </r>
        <r>
          <rPr>
            <sz val="9"/>
            <color indexed="81"/>
            <rFont val="Tahoma"/>
            <family val="2"/>
          </rPr>
          <t xml:space="preserve">
Rate of melt front propagation due to melt ejection
</t>
        </r>
      </text>
    </comment>
    <comment ref="O40" authorId="1" shapeId="0" xr:uid="{E3B9B8D1-A6C3-4E09-9158-597FEBB664EF}">
      <text>
        <r>
          <rPr>
            <b/>
            <sz val="9"/>
            <color indexed="81"/>
            <rFont val="Tahoma"/>
            <family val="2"/>
          </rPr>
          <t>Author:</t>
        </r>
        <r>
          <rPr>
            <sz val="9"/>
            <color indexed="81"/>
            <rFont val="Tahoma"/>
            <family val="2"/>
          </rPr>
          <t xml:space="preserve">
Intensity depleted by Melt Ejection(instead of Vaporization)</t>
        </r>
      </text>
    </comment>
    <comment ref="O41" authorId="1" shapeId="0" xr:uid="{922739E1-251A-464C-B1D0-30ECC1DC4CBC}">
      <text>
        <r>
          <rPr>
            <b/>
            <sz val="9"/>
            <color indexed="81"/>
            <rFont val="Tahoma"/>
            <family val="2"/>
          </rPr>
          <t>Author:</t>
        </r>
        <r>
          <rPr>
            <sz val="9"/>
            <color indexed="81"/>
            <rFont val="Tahoma"/>
            <family val="2"/>
          </rPr>
          <t xml:space="preserve">
Should be approaching Zero</t>
        </r>
      </text>
    </comment>
    <comment ref="P41" authorId="1" shapeId="0" xr:uid="{F223AA19-4899-4BD1-B182-BF1B98B135F3}">
      <text>
        <r>
          <rPr>
            <b/>
            <sz val="9"/>
            <color indexed="81"/>
            <rFont val="Tahoma"/>
            <family val="2"/>
          </rPr>
          <t>Author:</t>
        </r>
        <r>
          <rPr>
            <sz val="9"/>
            <color indexed="81"/>
            <rFont val="Tahoma"/>
            <family val="2"/>
          </rPr>
          <t xml:space="preserve">
Note: suffers from either Excel or Python accuracy issues though not likely above 1%%</t>
        </r>
      </text>
    </comment>
    <comment ref="O42" authorId="1" shapeId="0" xr:uid="{52FF1D89-F425-404C-B91B-F92487067045}">
      <text>
        <r>
          <rPr>
            <b/>
            <sz val="9"/>
            <color indexed="81"/>
            <rFont val="Tahoma"/>
            <family val="2"/>
          </rPr>
          <t>Author:</t>
        </r>
        <r>
          <rPr>
            <sz val="9"/>
            <color indexed="81"/>
            <rFont val="Tahoma"/>
            <family val="2"/>
          </rPr>
          <t xml:space="preserve">
Radiational Intensity balance, should approach zero.</t>
        </r>
      </text>
    </comment>
    <comment ref="O43" authorId="1" shapeId="0" xr:uid="{473777EF-A4DD-495C-80EB-452773D0FF8E}">
      <text>
        <r>
          <rPr>
            <b/>
            <sz val="9"/>
            <color indexed="81"/>
            <rFont val="Tahoma"/>
            <family val="2"/>
          </rPr>
          <t>Author:</t>
        </r>
        <r>
          <rPr>
            <sz val="9"/>
            <color indexed="81"/>
            <rFont val="Tahoma"/>
            <family val="2"/>
          </rPr>
          <t xml:space="preserve">
Rate of melt front propagation</t>
        </r>
      </text>
    </comment>
    <comment ref="O45" authorId="1" shapeId="0" xr:uid="{12C9AD4A-FCA2-43D1-AC5E-175170177F04}">
      <text>
        <r>
          <rPr>
            <b/>
            <sz val="9"/>
            <color indexed="81"/>
            <rFont val="Tahoma"/>
            <family val="2"/>
          </rPr>
          <t>Author:</t>
        </r>
        <r>
          <rPr>
            <sz val="9"/>
            <color indexed="81"/>
            <rFont val="Tahoma"/>
            <family val="2"/>
          </rPr>
          <t xml:space="preserve">
Velocity of impulse deformation (Monroe effect)
</t>
        </r>
      </text>
    </comment>
    <comment ref="O46" authorId="1" shapeId="0" xr:uid="{FADBE525-48E5-4282-BCCA-362F0AACFA99}">
      <text>
        <r>
          <rPr>
            <b/>
            <sz val="9"/>
            <color indexed="81"/>
            <rFont val="Tahoma"/>
            <family val="2"/>
          </rPr>
          <t>Author:</t>
        </r>
        <r>
          <rPr>
            <sz val="9"/>
            <color indexed="81"/>
            <rFont val="Tahoma"/>
            <family val="2"/>
          </rPr>
          <t xml:space="preserve">
Area of the hole bored by Monroe effect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Fenix</author>
    <author>Author</author>
  </authors>
  <commentList>
    <comment ref="B4" authorId="0" shapeId="0" xr:uid="{258A44CB-F1EA-4FFB-8683-37B314B28EEF}">
      <text>
        <r>
          <rPr>
            <b/>
            <sz val="9"/>
            <color indexed="81"/>
            <rFont val="Tahoma"/>
            <family val="2"/>
          </rPr>
          <t>Fenix:</t>
        </r>
        <r>
          <rPr>
            <sz val="9"/>
            <color indexed="81"/>
            <rFont val="Tahoma"/>
            <family val="2"/>
          </rPr>
          <t xml:space="preserve">
Note that the simulation is limited due to not taking into account the effect of penetrator breaking up upon impact, which is the mechanism some ERA(Kontakt-5) uses to defeat long-rod. 
This (AFAIK) cannot be simulated without running Finite Element Method material simulation and thus we can only speculate upon its actual impact. 
The user is advised to limit their pen-rod to L/D of less than 60.
Also to deterministically solve the penetration Tate equation we made some simplification (more info availble over at referenced material below.)</t>
        </r>
      </text>
    </comment>
    <comment ref="G17" authorId="0" shapeId="0" xr:uid="{A3F3AE2F-A8DC-4484-A59E-DA69128D34C7}">
      <text>
        <r>
          <rPr>
            <b/>
            <sz val="9"/>
            <color indexed="81"/>
            <rFont val="Tahoma"/>
            <family val="2"/>
          </rPr>
          <t>Fenix:</t>
        </r>
        <r>
          <rPr>
            <sz val="9"/>
            <color indexed="81"/>
            <rFont val="Tahoma"/>
            <family val="2"/>
          </rPr>
          <t xml:space="preserve">
All angles are measured perpendicular to armored surface.
Projectiles impacting any "shallower" than the critical angle will likely bounce.
Longer and Thinner rods are less likely to bounce according to both model. However this does have limitations outlined before.</t>
        </r>
      </text>
    </comment>
    <comment ref="D26" authorId="1" shapeId="0" xr:uid="{E0AFE3DB-9D01-4974-915F-F920219A6FE8}">
      <text>
        <r>
          <rPr>
            <b/>
            <sz val="9"/>
            <color indexed="81"/>
            <rFont val="Tahoma"/>
            <family val="2"/>
          </rPr>
          <t>Author:</t>
        </r>
        <r>
          <rPr>
            <sz val="9"/>
            <color indexed="81"/>
            <rFont val="Tahoma"/>
            <family val="2"/>
          </rPr>
          <t xml:space="preserve">
Up to 60 is possible in laboratory settings</t>
        </r>
      </text>
    </comment>
    <comment ref="B32" authorId="0" shapeId="0" xr:uid="{AB76A940-325F-4BE5-8D26-EAC444F72323}">
      <text>
        <r>
          <rPr>
            <b/>
            <sz val="9"/>
            <color indexed="81"/>
            <rFont val="Tahoma"/>
            <family val="2"/>
          </rPr>
          <t>Fenix:</t>
        </r>
        <r>
          <rPr>
            <sz val="9"/>
            <color indexed="81"/>
            <rFont val="Tahoma"/>
            <family val="2"/>
          </rPr>
          <t xml:space="preserve">
Note:During the writing of this calculator several bugs were discovered at Atomic Rockets. I have written to mr.Winchell Chung about this and hopefully the equations there can be updated. Huge thanks for pointing me in the right direction to search for though.</t>
        </r>
      </text>
    </comment>
    <comment ref="M61" authorId="1" shapeId="0" xr:uid="{6E01902B-8379-450C-91F5-6CBE77AC57A2}">
      <text>
        <r>
          <rPr>
            <b/>
            <sz val="9"/>
            <color indexed="81"/>
            <rFont val="Tahoma"/>
            <family val="2"/>
          </rPr>
          <t>Author:</t>
        </r>
        <r>
          <rPr>
            <sz val="9"/>
            <color indexed="81"/>
            <rFont val="Tahoma"/>
            <family val="2"/>
          </rPr>
          <t xml:space="preserve">
Note: Result is for no spalling and/or perforation of rear wall</t>
        </r>
      </text>
    </comment>
    <comment ref="B74" authorId="0" shapeId="0" xr:uid="{0E5EDACE-C02F-4892-9CE2-7BD6A7CED343}">
      <text>
        <r>
          <rPr>
            <b/>
            <sz val="9"/>
            <color indexed="81"/>
            <rFont val="Tahoma"/>
            <family val="2"/>
          </rPr>
          <t>Fenix:</t>
        </r>
        <r>
          <rPr>
            <sz val="9"/>
            <color indexed="81"/>
            <rFont val="Tahoma"/>
            <family val="2"/>
          </rPr>
          <t xml:space="preserve">
HESH has optimal impact velocity requirement and could form complicated shaped blast (instead of the sphere blast assumed here)
also note that spalling can still occur even if pen is low
</t>
        </r>
      </text>
    </comment>
    <comment ref="B88" authorId="0" shapeId="0" xr:uid="{0B1662DB-C26B-4597-BEA0-EE8692C58683}">
      <text>
        <r>
          <rPr>
            <b/>
            <sz val="9"/>
            <color indexed="81"/>
            <rFont val="Tahoma"/>
            <family val="2"/>
          </rPr>
          <t>Fenix:</t>
        </r>
        <r>
          <rPr>
            <sz val="9"/>
            <color indexed="81"/>
            <rFont val="Tahoma"/>
            <family val="2"/>
          </rPr>
          <t xml:space="preserve">
Accuracy suffers in the mid range, model should be accurate for extreme far and extreme close detonations. Extrapolated from conventional explosives.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Fenix</author>
  </authors>
  <commentList>
    <comment ref="C23" authorId="0" shapeId="0" xr:uid="{F2A8A057-5082-489D-B993-8228C11148E6}">
      <text>
        <r>
          <rPr>
            <b/>
            <sz val="9"/>
            <color indexed="81"/>
            <rFont val="Tahoma"/>
            <family val="2"/>
          </rPr>
          <t>Fenix:</t>
        </r>
        <r>
          <rPr>
            <sz val="9"/>
            <color indexed="81"/>
            <rFont val="Tahoma"/>
            <family val="2"/>
          </rPr>
          <t xml:space="preserve">
Represent targeting system's ability to direct fire accurately, mesured in number of shots lined up ideally vs total shots fired. Degraded by sensor uncertainty and enemy ECM</t>
        </r>
      </text>
    </comment>
    <comment ref="C77" authorId="0" shapeId="0" xr:uid="{D4B0874D-739B-4066-A364-F82ECFBAA21A}">
      <text>
        <r>
          <rPr>
            <b/>
            <sz val="9"/>
            <color indexed="81"/>
            <rFont val="Tahoma"/>
            <family val="2"/>
          </rPr>
          <t>Fenix:</t>
        </r>
        <r>
          <rPr>
            <sz val="9"/>
            <color indexed="81"/>
            <rFont val="Tahoma"/>
            <family val="2"/>
          </rPr>
          <t xml:space="preserve">
Represent targeting system's ability to direct fire accurately, mesured in number of shots lined up ideally vs total shots fired. Degraded by sensor uncertainty and enemy ECM</t>
        </r>
      </text>
    </comment>
  </commentList>
</comments>
</file>

<file path=xl/sharedStrings.xml><?xml version="1.0" encoding="utf-8"?>
<sst xmlns="http://schemas.openxmlformats.org/spreadsheetml/2006/main" count="4009" uniqueCount="2387">
  <si>
    <t>Lead</t>
  </si>
  <si>
    <t>kg</t>
  </si>
  <si>
    <t>m</t>
  </si>
  <si>
    <t>material</t>
  </si>
  <si>
    <t>mass</t>
  </si>
  <si>
    <t>radius</t>
  </si>
  <si>
    <t>(code)</t>
  </si>
  <si>
    <t>density</t>
  </si>
  <si>
    <t>kg*m^-3</t>
  </si>
  <si>
    <t>length</t>
  </si>
  <si>
    <t>inferred:</t>
  </si>
  <si>
    <t>penetration</t>
  </si>
  <si>
    <t>mm</t>
  </si>
  <si>
    <t>Vanadium Chromium Steel</t>
  </si>
  <si>
    <t>Carbon Steel</t>
  </si>
  <si>
    <t>Tate derived Hydrodynamic Analogy method</t>
  </si>
  <si>
    <t>ms^-1</t>
  </si>
  <si>
    <t>Armor/ly1</t>
  </si>
  <si>
    <t>thickness</t>
  </si>
  <si>
    <t>pen in ly.1</t>
  </si>
  <si>
    <t>B1</t>
  </si>
  <si>
    <t>MPa</t>
  </si>
  <si>
    <t>Maraging Steel</t>
  </si>
  <si>
    <t>exit velocity</t>
  </si>
  <si>
    <t>pen in ly.2</t>
  </si>
  <si>
    <t>B2</t>
  </si>
  <si>
    <t>residual energy</t>
  </si>
  <si>
    <t>J</t>
  </si>
  <si>
    <t>energy</t>
  </si>
  <si>
    <t>Result:</t>
  </si>
  <si>
    <t>Aluminum Oxide</t>
  </si>
  <si>
    <t>Boron Carbide</t>
  </si>
  <si>
    <t>Fenix Yard</t>
  </si>
  <si>
    <t>World building tool for FenixVerse</t>
  </si>
  <si>
    <t>Version History:</t>
  </si>
  <si>
    <t>v0.0</t>
  </si>
  <si>
    <t>Implemented Newton &amp; Tate method according to AR in the kinetics section</t>
  </si>
  <si>
    <t>imp vel</t>
  </si>
  <si>
    <t>Material</t>
  </si>
  <si>
    <t>Methane</t>
  </si>
  <si>
    <t>Ethane</t>
  </si>
  <si>
    <t>Propane</t>
  </si>
  <si>
    <t>Butane</t>
  </si>
  <si>
    <t>Pentane</t>
  </si>
  <si>
    <t>Decane</t>
  </si>
  <si>
    <t>Tetrafluoromethane</t>
  </si>
  <si>
    <t>Polytetrafluoroethylene</t>
  </si>
  <si>
    <t>Nitromethane</t>
  </si>
  <si>
    <t>Ethylene Oxide</t>
  </si>
  <si>
    <t>Polyethylene</t>
  </si>
  <si>
    <t>UHMWPE</t>
  </si>
  <si>
    <t>Aramid Fiber</t>
  </si>
  <si>
    <t>Ceramic Oxide Fiber</t>
  </si>
  <si>
    <t>5.3-6</t>
  </si>
  <si>
    <t>PBO Fiber</t>
  </si>
  <si>
    <t>-6.00-6</t>
  </si>
  <si>
    <t>Para-Aramid Fiber</t>
  </si>
  <si>
    <t>-6.0-6</t>
  </si>
  <si>
    <t>Liquid Crystal Polymer Fiber</t>
  </si>
  <si>
    <t>Nitrile Rubber</t>
  </si>
  <si>
    <t>Spider Silk</t>
  </si>
  <si>
    <t>S-Glass Composite</t>
  </si>
  <si>
    <t>Basalt Fiber Composite</t>
  </si>
  <si>
    <t>Water</t>
  </si>
  <si>
    <t>1.0016-3</t>
  </si>
  <si>
    <t>Semiheavy Water</t>
  </si>
  <si>
    <t>Heavy Water</t>
  </si>
  <si>
    <t>Nitrogen</t>
  </si>
  <si>
    <t>Nitrogen Dioxide</t>
  </si>
  <si>
    <t>Nitric Oxide</t>
  </si>
  <si>
    <t>Nitrous Oxide</t>
  </si>
  <si>
    <t>Carbon Monoxide</t>
  </si>
  <si>
    <t>Carbon Dioxide</t>
  </si>
  <si>
    <t>Oxygen</t>
  </si>
  <si>
    <t>Hydrogen</t>
  </si>
  <si>
    <t>Hydrogen Deuteride</t>
  </si>
  <si>
    <t>Hydrogen Peroxide</t>
  </si>
  <si>
    <t>Fluorine</t>
  </si>
  <si>
    <t>Hydrogen Fluoride</t>
  </si>
  <si>
    <t>Nitrogen Trifluoride</t>
  </si>
  <si>
    <t>Tetrafluorohydrazine</t>
  </si>
  <si>
    <t>Hydrazine</t>
  </si>
  <si>
    <t>Ammonia</t>
  </si>
  <si>
    <t>Sulfur Dioxide</t>
  </si>
  <si>
    <t>Mercury</t>
  </si>
  <si>
    <t>Aluminum</t>
  </si>
  <si>
    <t>Iron</t>
  </si>
  <si>
    <t>Tin</t>
  </si>
  <si>
    <t>Lithium</t>
  </si>
  <si>
    <t>Tungsten</t>
  </si>
  <si>
    <t>Titanium</t>
  </si>
  <si>
    <t>Copper</t>
  </si>
  <si>
    <t>Silver</t>
  </si>
  <si>
    <t>Gold</t>
  </si>
  <si>
    <t>Platinum</t>
  </si>
  <si>
    <t>Nickel</t>
  </si>
  <si>
    <t>Cobalt</t>
  </si>
  <si>
    <t>Tantalum</t>
  </si>
  <si>
    <t>Bismuth</t>
  </si>
  <si>
    <t>Rhenium</t>
  </si>
  <si>
    <t>Calcium</t>
  </si>
  <si>
    <t>Zinc</t>
  </si>
  <si>
    <t>Beryllium</t>
  </si>
  <si>
    <t>Magnesium</t>
  </si>
  <si>
    <t>Osmium</t>
  </si>
  <si>
    <t>Iridium</t>
  </si>
  <si>
    <t>Sodium</t>
  </si>
  <si>
    <t>Potassium</t>
  </si>
  <si>
    <t>Cadmium</t>
  </si>
  <si>
    <t>72.7-9</t>
  </si>
  <si>
    <t>Molybdenum</t>
  </si>
  <si>
    <t>Silicon Carbide</t>
  </si>
  <si>
    <t>Silicon Nitride</t>
  </si>
  <si>
    <t>Silicon Dioxide</t>
  </si>
  <si>
    <t>Titanium Dioxide</t>
  </si>
  <si>
    <t>11.8-6</t>
  </si>
  <si>
    <t>Titanium Carbide</t>
  </si>
  <si>
    <t>Titanium Nitride</t>
  </si>
  <si>
    <t>Titanium Diboride</t>
  </si>
  <si>
    <t>Tungsten Carbide</t>
  </si>
  <si>
    <t>Aluminum Nitride</t>
  </si>
  <si>
    <t>Aluminum Oxynitride</t>
  </si>
  <si>
    <t>Boron Nitride</t>
  </si>
  <si>
    <t>Beryllium Oxide</t>
  </si>
  <si>
    <t>Reinforced Carbon-Carbon</t>
  </si>
  <si>
    <t>Tantalum Carbide</t>
  </si>
  <si>
    <t>Hafnium Carbide</t>
  </si>
  <si>
    <t>6e8e-6</t>
  </si>
  <si>
    <t>Tantalum Hafnium Carbide</t>
  </si>
  <si>
    <t>Hafnia</t>
  </si>
  <si>
    <t>Zinc Oxide</t>
  </si>
  <si>
    <t>Ceramic Matrix Composite</t>
  </si>
  <si>
    <t>Depleted Uranium</t>
  </si>
  <si>
    <t>U-235</t>
  </si>
  <si>
    <t>U-235 Dioxide</t>
  </si>
  <si>
    <t>U-233 Dioxide</t>
  </si>
  <si>
    <t>Depleted Uranium Dioxide</t>
  </si>
  <si>
    <t>U-233</t>
  </si>
  <si>
    <t>Pu-240</t>
  </si>
  <si>
    <t>Pu-239</t>
  </si>
  <si>
    <t>Pu-241</t>
  </si>
  <si>
    <t>Th-232</t>
  </si>
  <si>
    <t>Am-241</t>
  </si>
  <si>
    <t>Am-242m</t>
  </si>
  <si>
    <t>Pu-238</t>
  </si>
  <si>
    <t>Pu-238 Dioxide</t>
  </si>
  <si>
    <t>Helium</t>
  </si>
  <si>
    <t>Neon</t>
  </si>
  <si>
    <t>Argon</t>
  </si>
  <si>
    <t>Krypton</t>
  </si>
  <si>
    <t>Xenon</t>
  </si>
  <si>
    <t>Radon</t>
  </si>
  <si>
    <t>Monatomic Hydrogen</t>
  </si>
  <si>
    <t>Monatomic Deuterium</t>
  </si>
  <si>
    <t>Monatomic Carbon</t>
  </si>
  <si>
    <t>Monatomic Oxygen</t>
  </si>
  <si>
    <t>Monatomic Nitrogen</t>
  </si>
  <si>
    <t>Monatomic Fluorine</t>
  </si>
  <si>
    <t>Olivine</t>
  </si>
  <si>
    <t>Wollastonite</t>
  </si>
  <si>
    <t>Plagioclase</t>
  </si>
  <si>
    <t>Calcium Phosphate</t>
  </si>
  <si>
    <t>Troilite</t>
  </si>
  <si>
    <t>Tetrataenite</t>
  </si>
  <si>
    <t>Enstatite</t>
  </si>
  <si>
    <t>Ferrosilite</t>
  </si>
  <si>
    <t>Fayalite</t>
  </si>
  <si>
    <t>Chromite</t>
  </si>
  <si>
    <t>Sodium Feldspar</t>
  </si>
  <si>
    <t>Wustite</t>
  </si>
  <si>
    <t>Magnetite</t>
  </si>
  <si>
    <t>Hematite</t>
  </si>
  <si>
    <t>Tenorite</t>
  </si>
  <si>
    <t>Phyllosilicate</t>
  </si>
  <si>
    <t>Diopside</t>
  </si>
  <si>
    <t>Hedenbergite</t>
  </si>
  <si>
    <t>Calcite</t>
  </si>
  <si>
    <t>Kamacite</t>
  </si>
  <si>
    <t>Nd:YAG</t>
  </si>
  <si>
    <t>Nd:YLF</t>
  </si>
  <si>
    <t>Nd:GGG</t>
  </si>
  <si>
    <t>Ruby</t>
  </si>
  <si>
    <t>Erbium:Silica Fiber</t>
  </si>
  <si>
    <t>Ytterbium:Silica Fiber</t>
  </si>
  <si>
    <t>Thulium:Silica Fiber</t>
  </si>
  <si>
    <t>Titanium:Sapphire</t>
  </si>
  <si>
    <t>Sapphire</t>
  </si>
  <si>
    <t>Mica</t>
  </si>
  <si>
    <t>Fused Quartz</t>
  </si>
  <si>
    <t>Diamond</t>
  </si>
  <si>
    <t>Indium Gallium Arsenide</t>
  </si>
  <si>
    <t>Gallium Nitride</t>
  </si>
  <si>
    <t>Lead Sulfide</t>
  </si>
  <si>
    <t>Cadmium Selenide</t>
  </si>
  <si>
    <t>Indium Antimonide</t>
  </si>
  <si>
    <t>Silver Gallium Selenide</t>
  </si>
  <si>
    <t>Potassium Dihydrogen Phosphate</t>
  </si>
  <si>
    <t>Potassium Titanyl Phosphate</t>
  </si>
  <si>
    <t>Barium Borate</t>
  </si>
  <si>
    <t>Lithium Triborate</t>
  </si>
  <si>
    <t>Lithium Niobate</t>
  </si>
  <si>
    <t>Borosilicate Glass</t>
  </si>
  <si>
    <t>Strontium Nitrate</t>
  </si>
  <si>
    <t>Barium Oxide</t>
  </si>
  <si>
    <t>Sodium Bicarbonate</t>
  </si>
  <si>
    <t>Copper(II) Chloride</t>
  </si>
  <si>
    <t>Silica Aerogel</t>
  </si>
  <si>
    <t>Graphite Aerogel</t>
  </si>
  <si>
    <t>Nickel Phosphorus Microlattice</t>
  </si>
  <si>
    <t>Graphite</t>
  </si>
  <si>
    <t>Pyrolytic Carbon</t>
  </si>
  <si>
    <t>Amorphous Carbon</t>
  </si>
  <si>
    <t>Boron</t>
  </si>
  <si>
    <t>Silicon</t>
  </si>
  <si>
    <t>Selenium</t>
  </si>
  <si>
    <t>Sulfur</t>
  </si>
  <si>
    <t>Nitrocellulose</t>
  </si>
  <si>
    <t>Octogen</t>
  </si>
  <si>
    <t>Cyclonite</t>
  </si>
  <si>
    <t>Nitroglycerin</t>
  </si>
  <si>
    <t>Barium Nitrate</t>
  </si>
  <si>
    <t>TNT</t>
  </si>
  <si>
    <t>RP-1</t>
  </si>
  <si>
    <t>Austenitic Stainless Steel</t>
  </si>
  <si>
    <t>Martensitic Stainless Steel</t>
  </si>
  <si>
    <t>Ferritic Stainless Steel</t>
  </si>
  <si>
    <t>Nickel Chromium Iron</t>
  </si>
  <si>
    <t>Nickel Chromium Cobalt</t>
  </si>
  <si>
    <t>17.8-6</t>
  </si>
  <si>
    <t>Titanium Aluminum Tin</t>
  </si>
  <si>
    <t>Cobalt Chromium Nickel</t>
  </si>
  <si>
    <t>Aluminum Silicon Magnesium</t>
  </si>
  <si>
    <t>Constantan</t>
  </si>
  <si>
    <t>Aluminum Copper Lithium</t>
  </si>
  <si>
    <t>Aluminum Zinc Magnesium</t>
  </si>
  <si>
    <t>Zirconium Copper</t>
  </si>
  <si>
    <t>Beryllium Copper</t>
  </si>
  <si>
    <t>Nickel Iron Molybdenum</t>
  </si>
  <si>
    <t>Iron Silicon Nanoalloy</t>
  </si>
  <si>
    <t>Magnetic Metal Glass</t>
  </si>
  <si>
    <t>Aluminum Nickel Cobalt</t>
  </si>
  <si>
    <t>Tungsten Rhenium</t>
  </si>
  <si>
    <t>Platinum Molybdenum</t>
  </si>
  <si>
    <t>1.96-7</t>
  </si>
  <si>
    <t>Gamma Titanium Aluminide</t>
  </si>
  <si>
    <t>1.109-6</t>
  </si>
  <si>
    <t>12.2-6</t>
  </si>
  <si>
    <t>Alpha-2 Titanium Aluminide</t>
  </si>
  <si>
    <t>1.356-6</t>
  </si>
  <si>
    <t>15-6</t>
  </si>
  <si>
    <t>Chlorotetrafluoroethane</t>
  </si>
  <si>
    <t>Trichlorofluoromethane</t>
  </si>
  <si>
    <t>Alumina Nanofluid</t>
  </si>
  <si>
    <t>Ethylene Glycol</t>
  </si>
  <si>
    <t>Deuterium</t>
  </si>
  <si>
    <t>Tritium</t>
  </si>
  <si>
    <t>Lithium-6</t>
  </si>
  <si>
    <t>Helium-3</t>
  </si>
  <si>
    <t>Strontium-90</t>
  </si>
  <si>
    <t>Polonium-210</t>
  </si>
  <si>
    <t>Curium-242</t>
  </si>
  <si>
    <t>Promethium-147</t>
  </si>
  <si>
    <t xml:space="preserve">Zane Mankowski -Children of a Dead Earth, source
</t>
  </si>
  <si>
    <t>pokington -Community forum,for compilng this spreadsheet</t>
  </si>
  <si>
    <t>Classifi-cation</t>
  </si>
  <si>
    <t>Fluids</t>
  </si>
  <si>
    <t>Metals</t>
  </si>
  <si>
    <t>Fissile</t>
  </si>
  <si>
    <t>Noble Gas</t>
  </si>
  <si>
    <t>Ion</t>
  </si>
  <si>
    <t>Compound</t>
  </si>
  <si>
    <t>Fusile</t>
  </si>
  <si>
    <t>Organic</t>
  </si>
  <si>
    <t>Ceramic</t>
  </si>
  <si>
    <t>Mineral</t>
  </si>
  <si>
    <t>Crystal</t>
  </si>
  <si>
    <t>Non-Metal</t>
  </si>
  <si>
    <t>Combust
able</t>
  </si>
  <si>
    <t>Alloy</t>
  </si>
  <si>
    <t>Coolant</t>
  </si>
  <si>
    <t>Radionuclide</t>
  </si>
  <si>
    <t>v0.1</t>
  </si>
  <si>
    <t>Armor/ly2</t>
  </si>
  <si>
    <t>Armor/ly3</t>
  </si>
  <si>
    <t>Armor/ly4</t>
  </si>
  <si>
    <t>kg*m^-2</t>
  </si>
  <si>
    <t>tally:</t>
  </si>
  <si>
    <t>Results:</t>
  </si>
  <si>
    <t>req.ρ</t>
  </si>
  <si>
    <t>Replaced OFFSET with LOOKUP, integrated CDE material database, improved kinetics calculation limits</t>
  </si>
  <si>
    <t>sect. ρ:</t>
  </si>
  <si>
    <t>v-p plot</t>
  </si>
  <si>
    <t>v(m*s^-1)</t>
  </si>
  <si>
    <t>b</t>
  </si>
  <si>
    <t>μ</t>
  </si>
  <si>
    <t>μ1</t>
  </si>
  <si>
    <t>μ2</t>
  </si>
  <si>
    <t>on</t>
  </si>
  <si>
    <t>residual length</t>
  </si>
  <si>
    <t>d/L</t>
  </si>
  <si>
    <t>Far Infrared</t>
  </si>
  <si>
    <r>
      <t xml:space="preserve">3e-5 to 1e-3 m </t>
    </r>
    <r>
      <rPr>
        <i/>
        <sz val="10"/>
        <color indexed="8"/>
        <rFont val="Arial"/>
        <family val="2"/>
      </rPr>
      <t>(30,000 to 1,000,000 nanometers)</t>
    </r>
  </si>
  <si>
    <t>Mid Infrared</t>
  </si>
  <si>
    <r>
      <t xml:space="preserve">5e-6 to 3e-5 m </t>
    </r>
    <r>
      <rPr>
        <i/>
        <sz val="10"/>
        <color indexed="8"/>
        <rFont val="Arial"/>
        <family val="2"/>
      </rPr>
      <t>(5000 to 30,000 nanometers)</t>
    </r>
  </si>
  <si>
    <t>Near Infrared</t>
  </si>
  <si>
    <r>
      <t xml:space="preserve">7e-7 to 5e-6 m </t>
    </r>
    <r>
      <rPr>
        <i/>
        <sz val="10"/>
        <color indexed="8"/>
        <rFont val="Arial"/>
        <family val="2"/>
      </rPr>
      <t>(700 to 5000 nanometers)</t>
    </r>
  </si>
  <si>
    <t>Red</t>
  </si>
  <si>
    <r>
      <t xml:space="preserve">7.1e-7 m </t>
    </r>
    <r>
      <rPr>
        <i/>
        <sz val="10"/>
        <rFont val="Arial"/>
        <family val="2"/>
      </rPr>
      <t>(710 nanometers)</t>
    </r>
  </si>
  <si>
    <t>Orange</t>
  </si>
  <si>
    <r>
      <t xml:space="preserve">6e-7 m </t>
    </r>
    <r>
      <rPr>
        <i/>
        <sz val="10"/>
        <color indexed="8"/>
        <rFont val="Arial"/>
        <family val="2"/>
      </rPr>
      <t>(600 nanometers)</t>
    </r>
  </si>
  <si>
    <t>Yellow</t>
  </si>
  <si>
    <r>
      <t xml:space="preserve">5.7e-7 m </t>
    </r>
    <r>
      <rPr>
        <i/>
        <sz val="10"/>
        <color indexed="8"/>
        <rFont val="Arial"/>
        <family val="2"/>
      </rPr>
      <t>(570 nanometers)</t>
    </r>
  </si>
  <si>
    <t>Green</t>
  </si>
  <si>
    <r>
      <t xml:space="preserve">5.5e-7 m </t>
    </r>
    <r>
      <rPr>
        <i/>
        <sz val="10"/>
        <color indexed="8"/>
        <rFont val="Arial"/>
        <family val="2"/>
      </rPr>
      <t>(550 nanometers)</t>
    </r>
  </si>
  <si>
    <t>Blue</t>
  </si>
  <si>
    <r>
      <t xml:space="preserve">4.75e-7 m </t>
    </r>
    <r>
      <rPr>
        <i/>
        <sz val="10"/>
        <color indexed="8"/>
        <rFont val="Arial"/>
        <family val="2"/>
      </rPr>
      <t>(475 nanometers)</t>
    </r>
  </si>
  <si>
    <t>Indigo</t>
  </si>
  <si>
    <r>
      <t xml:space="preserve">4.3e-7 m </t>
    </r>
    <r>
      <rPr>
        <i/>
        <sz val="10"/>
        <color indexed="8"/>
        <rFont val="Arial"/>
        <family val="2"/>
      </rPr>
      <t>(430 nanometers)</t>
    </r>
  </si>
  <si>
    <t>Violet</t>
  </si>
  <si>
    <r>
      <t xml:space="preserve">3.8e-7 m </t>
    </r>
    <r>
      <rPr>
        <i/>
        <sz val="10"/>
        <color indexed="8"/>
        <rFont val="Arial"/>
        <family val="2"/>
      </rPr>
      <t>(380 nanometers)</t>
    </r>
  </si>
  <si>
    <t>Ultraviolet A</t>
  </si>
  <si>
    <r>
      <t xml:space="preserve">3.2e-7 to 4e-7 m </t>
    </r>
    <r>
      <rPr>
        <i/>
        <sz val="10"/>
        <color indexed="8"/>
        <rFont val="Arial"/>
        <family val="2"/>
      </rPr>
      <t>(320 to 400 nanometers)</t>
    </r>
  </si>
  <si>
    <t>Ultraviolet B</t>
  </si>
  <si>
    <r>
      <t xml:space="preserve">2.9e-7 to 3.2e-7 m </t>
    </r>
    <r>
      <rPr>
        <i/>
        <sz val="10"/>
        <color indexed="8"/>
        <rFont val="Arial"/>
        <family val="2"/>
      </rPr>
      <t>(290 to 320 nanometers)</t>
    </r>
  </si>
  <si>
    <t>Ultraviolet C</t>
  </si>
  <si>
    <r>
      <t xml:space="preserve">2e-7 to 2.9e-7 m </t>
    </r>
    <r>
      <rPr>
        <i/>
        <sz val="10"/>
        <color indexed="8"/>
        <rFont val="Arial"/>
        <family val="2"/>
      </rPr>
      <t>(200 to 290 nanometers)</t>
    </r>
  </si>
  <si>
    <t>Extreme Ultraviolet</t>
  </si>
  <si>
    <r>
      <t xml:space="preserve">1e-8 to 2e-7 m </t>
    </r>
    <r>
      <rPr>
        <i/>
        <sz val="10"/>
        <color indexed="8"/>
        <rFont val="Arial"/>
        <family val="2"/>
      </rPr>
      <t>(10 to 200 nanometers)</t>
    </r>
  </si>
  <si>
    <t>X-Ray</t>
  </si>
  <si>
    <r>
      <t xml:space="preserve">1e-11 to 1e-8 m </t>
    </r>
    <r>
      <rPr>
        <i/>
        <sz val="10"/>
        <color indexed="8"/>
        <rFont val="Arial"/>
        <family val="2"/>
      </rPr>
      <t>(0.01 to 10 nanometers)</t>
    </r>
  </si>
  <si>
    <t>Gamma-Ray</t>
  </si>
  <si>
    <r>
      <t xml:space="preserve">&lt; 1e-11 m </t>
    </r>
    <r>
      <rPr>
        <i/>
        <sz val="10"/>
        <rFont val="Arial"/>
        <family val="2"/>
      </rPr>
      <t>(&lt; 0.01 nanometer)</t>
    </r>
  </si>
  <si>
    <t>Continous Wave Laser</t>
  </si>
  <si>
    <t>THz</t>
  </si>
  <si>
    <t>λ</t>
  </si>
  <si>
    <t>nm</t>
  </si>
  <si>
    <t>Freq</t>
  </si>
  <si>
    <t>Wavelength</t>
  </si>
  <si>
    <t>μm</t>
  </si>
  <si>
    <t>Jitter</t>
  </si>
  <si>
    <t>Mirror</t>
  </si>
  <si>
    <t>rad</t>
  </si>
  <si>
    <t>v0.2</t>
  </si>
  <si>
    <t>Power</t>
  </si>
  <si>
    <t>W</t>
  </si>
  <si>
    <t>(cd)</t>
  </si>
  <si>
    <t>Inferred</t>
  </si>
  <si>
    <t>ρ</t>
  </si>
  <si>
    <t>kgm^-3</t>
  </si>
  <si>
    <t>yotta</t>
  </si>
  <si>
    <t>Y</t>
  </si>
  <si>
    <t>zetta</t>
  </si>
  <si>
    <t>Z</t>
  </si>
  <si>
    <t>exa</t>
  </si>
  <si>
    <t>E</t>
  </si>
  <si>
    <t>peta</t>
  </si>
  <si>
    <t>P</t>
  </si>
  <si>
    <t>tera</t>
  </si>
  <si>
    <t>T</t>
  </si>
  <si>
    <t>giga</t>
  </si>
  <si>
    <t>G</t>
  </si>
  <si>
    <t>mega</t>
  </si>
  <si>
    <t>M</t>
  </si>
  <si>
    <t>kilo</t>
  </si>
  <si>
    <t>k</t>
  </si>
  <si>
    <t>hecto</t>
  </si>
  <si>
    <t>h</t>
  </si>
  <si>
    <t>deka</t>
  </si>
  <si>
    <t>da</t>
  </si>
  <si>
    <t>deci</t>
  </si>
  <si>
    <t>d</t>
  </si>
  <si>
    <t>centi</t>
  </si>
  <si>
    <t>c</t>
  </si>
  <si>
    <t>milli</t>
  </si>
  <si>
    <t>micro</t>
  </si>
  <si>
    <t>µ</t>
  </si>
  <si>
    <t>nano</t>
  </si>
  <si>
    <t>n</t>
  </si>
  <si>
    <t>pico</t>
  </si>
  <si>
    <t>p</t>
  </si>
  <si>
    <t>femto</t>
  </si>
  <si>
    <t>f</t>
  </si>
  <si>
    <t>atto</t>
  </si>
  <si>
    <t>a</t>
  </si>
  <si>
    <t>zepto</t>
  </si>
  <si>
    <t>z</t>
  </si>
  <si>
    <t>yocto</t>
  </si>
  <si>
    <t>y</t>
  </si>
  <si>
    <t>M^2</t>
  </si>
  <si>
    <t>κ</t>
  </si>
  <si>
    <t>Wm^-1k^-1</t>
  </si>
  <si>
    <t>Cp</t>
  </si>
  <si>
    <t>Jkg^-1K^-1</t>
  </si>
  <si>
    <t>ambient</t>
  </si>
  <si>
    <t>K</t>
  </si>
  <si>
    <t>Hf</t>
  </si>
  <si>
    <t>Jmol^-1</t>
  </si>
  <si>
    <t>atomic symbol</t>
  </si>
  <si>
    <t>English 
element name</t>
  </si>
  <si>
    <t>atomic mass (rounded)</t>
  </si>
  <si>
    <t>H</t>
  </si>
  <si>
    <t>hydrogen</t>
  </si>
  <si>
    <t>He</t>
  </si>
  <si>
    <t>helium</t>
  </si>
  <si>
    <t>Li</t>
  </si>
  <si>
    <t>lithium</t>
  </si>
  <si>
    <t>Be</t>
  </si>
  <si>
    <t>beryllium</t>
  </si>
  <si>
    <t>B</t>
  </si>
  <si>
    <t>boron</t>
  </si>
  <si>
    <t>C</t>
  </si>
  <si>
    <t>carbon</t>
  </si>
  <si>
    <t>N</t>
  </si>
  <si>
    <t>nitrogen</t>
  </si>
  <si>
    <t>O</t>
  </si>
  <si>
    <t>oxygen</t>
  </si>
  <si>
    <t>F</t>
  </si>
  <si>
    <t>fluorine</t>
  </si>
  <si>
    <t>Ne</t>
  </si>
  <si>
    <t>neon</t>
  </si>
  <si>
    <t>Na</t>
  </si>
  <si>
    <t>sodium</t>
  </si>
  <si>
    <t>Mg</t>
  </si>
  <si>
    <t>magnesium</t>
  </si>
  <si>
    <t>Al</t>
  </si>
  <si>
    <t>aluminum</t>
  </si>
  <si>
    <t>Si</t>
  </si>
  <si>
    <t>silicon</t>
  </si>
  <si>
    <t>phosphorus</t>
  </si>
  <si>
    <t>S</t>
  </si>
  <si>
    <t>sulfur</t>
  </si>
  <si>
    <t>Cl</t>
  </si>
  <si>
    <t>chlorine</t>
  </si>
  <si>
    <t>Ar</t>
  </si>
  <si>
    <t>argon</t>
  </si>
  <si>
    <t>potassium</t>
  </si>
  <si>
    <t>Ca</t>
  </si>
  <si>
    <t>calcium</t>
  </si>
  <si>
    <t>Sc</t>
  </si>
  <si>
    <t>scandium</t>
  </si>
  <si>
    <t>Ti</t>
  </si>
  <si>
    <t>titanium</t>
  </si>
  <si>
    <t>V</t>
  </si>
  <si>
    <t>vanadium</t>
  </si>
  <si>
    <t>Cr</t>
  </si>
  <si>
    <t>chromium</t>
  </si>
  <si>
    <t>Mn</t>
  </si>
  <si>
    <t>manganese</t>
  </si>
  <si>
    <t>Fe</t>
  </si>
  <si>
    <t>iron</t>
  </si>
  <si>
    <t>Co</t>
  </si>
  <si>
    <t>cobalt</t>
  </si>
  <si>
    <t>Ni</t>
  </si>
  <si>
    <t>nickel</t>
  </si>
  <si>
    <t>Cu</t>
  </si>
  <si>
    <t>copper</t>
  </si>
  <si>
    <t>Zn</t>
  </si>
  <si>
    <t>zinc</t>
  </si>
  <si>
    <t>Ga</t>
  </si>
  <si>
    <t>gallium</t>
  </si>
  <si>
    <t>Ge</t>
  </si>
  <si>
    <t>germanium</t>
  </si>
  <si>
    <t>As</t>
  </si>
  <si>
    <t>arsenic</t>
  </si>
  <si>
    <t>Se</t>
  </si>
  <si>
    <t>selenium</t>
  </si>
  <si>
    <t>Br</t>
  </si>
  <si>
    <t>bromine</t>
  </si>
  <si>
    <t>Kr</t>
  </si>
  <si>
    <t>krypton</t>
  </si>
  <si>
    <t>Rb</t>
  </si>
  <si>
    <t>rubidium</t>
  </si>
  <si>
    <t>Sr</t>
  </si>
  <si>
    <t>strontium</t>
  </si>
  <si>
    <t>yttrium</t>
  </si>
  <si>
    <t>Zr</t>
  </si>
  <si>
    <t>zirconium</t>
  </si>
  <si>
    <t>Nb</t>
  </si>
  <si>
    <t>niobium</t>
  </si>
  <si>
    <t>Mo</t>
  </si>
  <si>
    <t>molybdenum</t>
  </si>
  <si>
    <t>Tc</t>
  </si>
  <si>
    <t>technetium</t>
  </si>
  <si>
    <t>Ru</t>
  </si>
  <si>
    <t>ruthenium</t>
  </si>
  <si>
    <t>Rh</t>
  </si>
  <si>
    <t>rhodium</t>
  </si>
  <si>
    <t>Pd</t>
  </si>
  <si>
    <t>palladium</t>
  </si>
  <si>
    <t>Ag</t>
  </si>
  <si>
    <t>silver</t>
  </si>
  <si>
    <t>Cd</t>
  </si>
  <si>
    <t>cadmium</t>
  </si>
  <si>
    <t>In</t>
  </si>
  <si>
    <t>indium</t>
  </si>
  <si>
    <t>Sn</t>
  </si>
  <si>
    <t>tin</t>
  </si>
  <si>
    <t>Sb</t>
  </si>
  <si>
    <t>antimony</t>
  </si>
  <si>
    <t>Te</t>
  </si>
  <si>
    <t>tellurium</t>
  </si>
  <si>
    <t>I</t>
  </si>
  <si>
    <t>iodine</t>
  </si>
  <si>
    <t>Xe</t>
  </si>
  <si>
    <t>xenon</t>
  </si>
  <si>
    <t>Cs</t>
  </si>
  <si>
    <t>cesium</t>
  </si>
  <si>
    <t>Ba</t>
  </si>
  <si>
    <t>barium</t>
  </si>
  <si>
    <t>La</t>
  </si>
  <si>
    <t>lanthanum</t>
  </si>
  <si>
    <t>Ce</t>
  </si>
  <si>
    <t>cerium</t>
  </si>
  <si>
    <t>Pr</t>
  </si>
  <si>
    <t>praseodymium</t>
  </si>
  <si>
    <t>Nd</t>
  </si>
  <si>
    <t>neodymium</t>
  </si>
  <si>
    <t>Pm</t>
  </si>
  <si>
    <t>promethium</t>
  </si>
  <si>
    <t>Sm</t>
  </si>
  <si>
    <t>samarium</t>
  </si>
  <si>
    <t>Eu</t>
  </si>
  <si>
    <t>europium</t>
  </si>
  <si>
    <t>Gd</t>
  </si>
  <si>
    <t>gadolinium</t>
  </si>
  <si>
    <t>Tb</t>
  </si>
  <si>
    <t>terbium</t>
  </si>
  <si>
    <t>Dy</t>
  </si>
  <si>
    <t>dysprosium</t>
  </si>
  <si>
    <t>Ho</t>
  </si>
  <si>
    <t>holmium</t>
  </si>
  <si>
    <t>Er</t>
  </si>
  <si>
    <t>erbium</t>
  </si>
  <si>
    <t>Tm</t>
  </si>
  <si>
    <t>thulium</t>
  </si>
  <si>
    <t>Yb</t>
  </si>
  <si>
    <t>ytterbium</t>
  </si>
  <si>
    <t>Lu</t>
  </si>
  <si>
    <t>lutetium</t>
  </si>
  <si>
    <t>hafnium</t>
  </si>
  <si>
    <t>Ta</t>
  </si>
  <si>
    <t>tantalum</t>
  </si>
  <si>
    <t>tungsten</t>
  </si>
  <si>
    <t>Re</t>
  </si>
  <si>
    <t>rhenium</t>
  </si>
  <si>
    <t>Os</t>
  </si>
  <si>
    <t>osmium</t>
  </si>
  <si>
    <t>Ir</t>
  </si>
  <si>
    <t>iridium</t>
  </si>
  <si>
    <t>Pt</t>
  </si>
  <si>
    <t>platinum</t>
  </si>
  <si>
    <t>Au</t>
  </si>
  <si>
    <t>gold</t>
  </si>
  <si>
    <t>Hg</t>
  </si>
  <si>
    <t>mercury</t>
  </si>
  <si>
    <t>Tl</t>
  </si>
  <si>
    <t>thallium</t>
  </si>
  <si>
    <t>Pb</t>
  </si>
  <si>
    <t>lead</t>
  </si>
  <si>
    <t>Bi</t>
  </si>
  <si>
    <t>bismuth</t>
  </si>
  <si>
    <t>Po</t>
  </si>
  <si>
    <t>polonium</t>
  </si>
  <si>
    <t>At</t>
  </si>
  <si>
    <t>astatine</t>
  </si>
  <si>
    <t>Rn</t>
  </si>
  <si>
    <t>radon</t>
  </si>
  <si>
    <t>Fr</t>
  </si>
  <si>
    <t>francium</t>
  </si>
  <si>
    <t>Ra</t>
  </si>
  <si>
    <t>radium</t>
  </si>
  <si>
    <t>Ac</t>
  </si>
  <si>
    <t>actinium</t>
  </si>
  <si>
    <t>Th</t>
  </si>
  <si>
    <t>thorium</t>
  </si>
  <si>
    <t>Pa</t>
  </si>
  <si>
    <t>protactinium</t>
  </si>
  <si>
    <t>U</t>
  </si>
  <si>
    <t>uranium</t>
  </si>
  <si>
    <t>Np</t>
  </si>
  <si>
    <t>neptunium</t>
  </si>
  <si>
    <t>Pu</t>
  </si>
  <si>
    <t>plutonium</t>
  </si>
  <si>
    <t>Am</t>
  </si>
  <si>
    <t>americium</t>
  </si>
  <si>
    <t>Cm</t>
  </si>
  <si>
    <t>curium</t>
  </si>
  <si>
    <t>Bk</t>
  </si>
  <si>
    <t>berkelium</t>
  </si>
  <si>
    <t>Cf</t>
  </si>
  <si>
    <t>californium</t>
  </si>
  <si>
    <t>Es</t>
  </si>
  <si>
    <t>einsteinium</t>
  </si>
  <si>
    <t>Fm</t>
  </si>
  <si>
    <t>fermium</t>
  </si>
  <si>
    <t>Md</t>
  </si>
  <si>
    <t>mendelevium</t>
  </si>
  <si>
    <t>No</t>
  </si>
  <si>
    <t>nobelium</t>
  </si>
  <si>
    <t>Lr</t>
  </si>
  <si>
    <t>lawrencium</t>
  </si>
  <si>
    <t>Rf</t>
  </si>
  <si>
    <t>rutherfordium</t>
  </si>
  <si>
    <t>Db</t>
  </si>
  <si>
    <t>dubnium</t>
  </si>
  <si>
    <t>Sg</t>
  </si>
  <si>
    <t>seaborgium</t>
  </si>
  <si>
    <t>Bh</t>
  </si>
  <si>
    <t>bohrium</t>
  </si>
  <si>
    <t>Hs</t>
  </si>
  <si>
    <t>hassium</t>
  </si>
  <si>
    <t>Mt</t>
  </si>
  <si>
    <t>meitnerium</t>
  </si>
  <si>
    <t>Ds</t>
  </si>
  <si>
    <t>darmstadtium</t>
  </si>
  <si>
    <t>Rg</t>
  </si>
  <si>
    <t>roentgentium</t>
  </si>
  <si>
    <t>Cn</t>
  </si>
  <si>
    <t>copernicum</t>
  </si>
  <si>
    <t>Nh</t>
  </si>
  <si>
    <t>nihonium</t>
  </si>
  <si>
    <t>Fl</t>
  </si>
  <si>
    <t>flerovium</t>
  </si>
  <si>
    <t>Mc</t>
  </si>
  <si>
    <t>moscovium</t>
  </si>
  <si>
    <t>Lv</t>
  </si>
  <si>
    <t>livermorium</t>
  </si>
  <si>
    <t>Ts</t>
  </si>
  <si>
    <t>tennessine</t>
  </si>
  <si>
    <t>Og</t>
  </si>
  <si>
    <t>oganesson</t>
  </si>
  <si>
    <t>http://www.mrbigler.com/documents/Periodic-Table.xls</t>
  </si>
  <si>
    <t>Molecular Weight Calculator</t>
  </si>
  <si>
    <t>g/mol</t>
  </si>
  <si>
    <t>Trouton</t>
  </si>
  <si>
    <r>
      <t>Hv</t>
    </r>
    <r>
      <rPr>
        <sz val="11"/>
        <color theme="1"/>
        <rFont val="Calibri"/>
        <family val="2"/>
      </rPr>
      <t>θ</t>
    </r>
  </si>
  <si>
    <r>
      <t>Hf</t>
    </r>
    <r>
      <rPr>
        <sz val="11"/>
        <color theme="1"/>
        <rFont val="Calibri"/>
        <family val="2"/>
      </rPr>
      <t>θ</t>
    </r>
  </si>
  <si>
    <t>Note:liquid will vaporize without pressure</t>
  </si>
  <si>
    <r>
      <t>Tboil</t>
    </r>
    <r>
      <rPr>
        <sz val="11"/>
        <color theme="1"/>
        <rFont val="Calibri"/>
        <family val="2"/>
      </rPr>
      <t>θ</t>
    </r>
  </si>
  <si>
    <t>Va</t>
  </si>
  <si>
    <t>Pictet</t>
  </si>
  <si>
    <t>cm^3mol^-1</t>
  </si>
  <si>
    <t>α</t>
  </si>
  <si>
    <t>K^-1</t>
  </si>
  <si>
    <t>v0.3</t>
  </si>
  <si>
    <t>Preparatory work for CW laser damage model: material modeling using Dulong-Petit/Trouton, simple chemical calc</t>
  </si>
  <si>
    <t>Microsoft Excel is protected by a copyright owned by Microsoft Corporation, the data and formulas programmed into this spreadsheet are licensed under a Creative Commons Attribution-NonCommercial-ShareAlike 4.0 International (CC BY-NC-SA 4.0) License</t>
  </si>
  <si>
    <t xml:space="preserve">You are free to: </t>
  </si>
  <si>
    <r>
      <rPr>
        <b/>
        <sz val="10"/>
        <rFont val="Arial"/>
        <family val="2"/>
      </rPr>
      <t xml:space="preserve">Share </t>
    </r>
    <r>
      <rPr>
        <sz val="10"/>
        <rFont val="Arial"/>
        <family val="2"/>
      </rPr>
      <t>— copy and redistribute the material in any medium or format</t>
    </r>
  </si>
  <si>
    <r>
      <rPr>
        <b/>
        <sz val="10"/>
        <rFont val="Arial"/>
        <family val="2"/>
      </rPr>
      <t>Adapt</t>
    </r>
    <r>
      <rPr>
        <sz val="10"/>
        <rFont val="Arial"/>
        <family val="2"/>
      </rPr>
      <t xml:space="preserve"> — remix, transform, and build upon the material</t>
    </r>
  </si>
  <si>
    <t>Under the following terms:</t>
  </si>
  <si>
    <r>
      <rPr>
        <b/>
        <sz val="10"/>
        <rFont val="Arial"/>
        <family val="2"/>
      </rPr>
      <t>Attribution</t>
    </r>
    <r>
      <rPr>
        <sz val="10"/>
        <rFont val="Arial"/>
        <family val="2"/>
      </rPr>
      <t xml:space="preserve"> — You must give appropriate credit, provide a link to the license, and indicate if changes were made. You may do so in any reasonable manner, but not in any way that suggests the licensor endorses you or your use.</t>
    </r>
  </si>
  <si>
    <r>
      <rPr>
        <b/>
        <sz val="10"/>
        <rFont val="Arial"/>
        <family val="2"/>
      </rPr>
      <t xml:space="preserve">NonCommercial </t>
    </r>
    <r>
      <rPr>
        <sz val="10"/>
        <rFont val="Arial"/>
        <family val="2"/>
      </rPr>
      <t>— You may not use the material for commercial purposes.</t>
    </r>
  </si>
  <si>
    <r>
      <rPr>
        <b/>
        <sz val="10"/>
        <rFont val="Arial"/>
        <family val="2"/>
      </rPr>
      <t>ShareAlike</t>
    </r>
    <r>
      <rPr>
        <sz val="10"/>
        <rFont val="Arial"/>
        <family val="2"/>
      </rPr>
      <t xml:space="preserve"> — If you remix, transform, or build upon the material, you must distribute your contributions under the same license as the original.</t>
    </r>
  </si>
  <si>
    <t>The licensor cannot revoke these freedoms as long as you follow the license terms.</t>
  </si>
  <si>
    <t>Implemented CW laser, error checking and correction, charting, copyright notices</t>
  </si>
  <si>
    <t>Notices:</t>
  </si>
  <si>
    <t>You do not have to comply with the license for elements of the material in the public domain or where your use is permitted by an applicable exception or limitation.</t>
  </si>
  <si>
    <t>No warranties are given. The license may not give you all of the permissions necessary for your intended use. For example, other rights such as publicity, privacy, or moral rights may limit how you use the material.</t>
  </si>
  <si>
    <r>
      <rPr>
        <b/>
        <sz val="10"/>
        <rFont val="Arial"/>
        <family val="2"/>
      </rPr>
      <t>No additional restrictions</t>
    </r>
    <r>
      <rPr>
        <sz val="10"/>
        <rFont val="Arial"/>
        <family val="2"/>
      </rPr>
      <t xml:space="preserve"> — You may not apply legal terms or technological measures  that legally restrict others from doing anything the license permits.</t>
    </r>
  </si>
  <si>
    <t>2019 Pretheya Anataya Fenixia, contact at 914962409@qq.com</t>
  </si>
  <si>
    <t>If you have specific questions about your desired use of this material, or if you would like to request a specific exemption to these license terms, please contact the author at 914962409@qq.com</t>
  </si>
  <si>
    <t>Jkg^-1</t>
  </si>
  <si>
    <t>χ</t>
  </si>
  <si>
    <t>m^2s^-1</t>
  </si>
  <si>
    <t>Approximate Laser Damage Model:</t>
  </si>
  <si>
    <t>Range</t>
  </si>
  <si>
    <t>m^2</t>
  </si>
  <si>
    <t>v0.4</t>
  </si>
  <si>
    <t>Equations courtesy of Luke Campbell's website</t>
  </si>
  <si>
    <t>http://www.panoptesv.com/SciFi/LaserDeathRay/DamageFromLaser.php</t>
  </si>
  <si>
    <t>Jitter data courtesy of Vance at CDE discord server</t>
  </si>
  <si>
    <t>Tally</t>
  </si>
  <si>
    <t>Compound:</t>
  </si>
  <si>
    <t>element count</t>
  </si>
  <si>
    <t>c.</t>
  </si>
  <si>
    <t>Enthalpy Change of Fusion (J/mol)</t>
    <phoneticPr fontId="3" type="noConversion"/>
  </si>
  <si>
    <t>Enthalpy Change of Vaporization (J/mol)</t>
    <phoneticPr fontId="3" type="noConversion"/>
  </si>
  <si>
    <t>autowave -Chinese CDE groupchat, for compiling enthalpy data</t>
  </si>
  <si>
    <t>Tmeltθ</t>
  </si>
  <si>
    <t>Wm^-2</t>
  </si>
  <si>
    <t>kgmol^-1</t>
  </si>
  <si>
    <t>ηv</t>
  </si>
  <si>
    <t>γ</t>
  </si>
  <si>
    <t>cv</t>
  </si>
  <si>
    <t>c0</t>
  </si>
  <si>
    <t>Tv</t>
  </si>
  <si>
    <t>r</t>
  </si>
  <si>
    <t>p0</t>
  </si>
  <si>
    <t>ρs</t>
  </si>
  <si>
    <t>q</t>
  </si>
  <si>
    <t>ρv</t>
  </si>
  <si>
    <t>Vbalance</t>
  </si>
  <si>
    <t>Mach</t>
  </si>
  <si>
    <t>Ia</t>
  </si>
  <si>
    <t>pv</t>
  </si>
  <si>
    <t>vv</t>
  </si>
  <si>
    <t>vi</t>
  </si>
  <si>
    <t>ρl</t>
  </si>
  <si>
    <t>PaS</t>
  </si>
  <si>
    <t>Nm^-1</t>
  </si>
  <si>
    <t>pst</t>
  </si>
  <si>
    <t>Dm</t>
  </si>
  <si>
    <t>vm</t>
  </si>
  <si>
    <t>Imelt</t>
  </si>
  <si>
    <t>Ibalance</t>
  </si>
  <si>
    <t>v</t>
  </si>
  <si>
    <t>Kc</t>
  </si>
  <si>
    <t>vd</t>
  </si>
  <si>
    <t>Sd</t>
  </si>
  <si>
    <t>Note: Plasma physics not simulated</t>
  </si>
  <si>
    <t>e</t>
  </si>
  <si>
    <t>Tr</t>
  </si>
  <si>
    <t>Drill rate:</t>
  </si>
  <si>
    <t>mm/s</t>
  </si>
  <si>
    <t>melt-ejection</t>
  </si>
  <si>
    <t>vaporization</t>
  </si>
  <si>
    <t>explosive deformation</t>
  </si>
  <si>
    <t>Armor and Environment</t>
  </si>
  <si>
    <t>Gain medium</t>
  </si>
  <si>
    <t>Gas Composition</t>
  </si>
  <si>
    <t>Pumping Efficiency</t>
  </si>
  <si>
    <t>Wave-length (nm)</t>
  </si>
  <si>
    <t>Ti:Sapphire</t>
  </si>
  <si>
    <t>Achievable efficiency</t>
  </si>
  <si>
    <t>Ho:YaG</t>
  </si>
  <si>
    <t>None</t>
  </si>
  <si>
    <t>Molten Gold</t>
  </si>
  <si>
    <t>Ce:LLF</t>
  </si>
  <si>
    <t>Tm:YAG</t>
  </si>
  <si>
    <t>Liquid Holium</t>
  </si>
  <si>
    <t>Alexandrite</t>
  </si>
  <si>
    <t>CTH:YAG</t>
  </si>
  <si>
    <t>Safe Use Tempreature(K)</t>
  </si>
  <si>
    <t>Min Use Tempreature(K)</t>
  </si>
  <si>
    <t>Provisional</t>
  </si>
  <si>
    <t>Note</t>
  </si>
  <si>
    <t>Aperture Radius</t>
  </si>
  <si>
    <t>Optical Power</t>
  </si>
  <si>
    <t>Laser Module</t>
  </si>
  <si>
    <t>Reference Code</t>
  </si>
  <si>
    <t>Ref.</t>
  </si>
  <si>
    <t>Efficiency</t>
  </si>
  <si>
    <t>Input Power</t>
  </si>
  <si>
    <t>Modified Cour-Palais Equation</t>
  </si>
  <si>
    <t>Rear-wall</t>
  </si>
  <si>
    <t>yield.str</t>
  </si>
  <si>
    <t>standoff</t>
  </si>
  <si>
    <t>cm</t>
  </si>
  <si>
    <t>vel</t>
  </si>
  <si>
    <t>g*cm^-3</t>
  </si>
  <si>
    <t>ksi</t>
  </si>
  <si>
    <t>km/s</t>
  </si>
  <si>
    <t>g</t>
  </si>
  <si>
    <t>g*cm^-2</t>
  </si>
  <si>
    <t>rec.thick</t>
  </si>
  <si>
    <t>angle</t>
  </si>
  <si>
    <t>deg</t>
  </si>
  <si>
    <t>Kh</t>
  </si>
  <si>
    <t>Dc-H</t>
  </si>
  <si>
    <t>Khi</t>
  </si>
  <si>
    <t>Kli</t>
  </si>
  <si>
    <t>KI</t>
  </si>
  <si>
    <t>Dc-I</t>
  </si>
  <si>
    <t>σ'h</t>
  </si>
  <si>
    <t>σ'L</t>
  </si>
  <si>
    <t>Dc-L</t>
  </si>
  <si>
    <t>Caluclation Step:</t>
  </si>
  <si>
    <t>Crit.Radius:</t>
  </si>
  <si>
    <t>Penetration</t>
  </si>
  <si>
    <t>Sources：Meteroid/Debris Shielding, Eric.L.Christiansen, 
                 NASA JSC,August 2003,TP-2003-210788</t>
  </si>
  <si>
    <t>Steady-state laser damage model implemented, new projectile model accounting for Whipple effect</t>
  </si>
  <si>
    <t>Tank:</t>
  </si>
  <si>
    <t>content</t>
  </si>
  <si>
    <t>Perforation</t>
  </si>
  <si>
    <t>:</t>
  </si>
  <si>
    <t>state</t>
  </si>
  <si>
    <t>P_ext</t>
  </si>
  <si>
    <t>Pvap</t>
  </si>
  <si>
    <t>M01</t>
  </si>
  <si>
    <t>P2</t>
  </si>
  <si>
    <t>T01</t>
  </si>
  <si>
    <t>P01</t>
  </si>
  <si>
    <t>Num</t>
  </si>
  <si>
    <t>v2</t>
  </si>
  <si>
    <t>gamma</t>
  </si>
  <si>
    <t>T2</t>
  </si>
  <si>
    <t>Kgm^-3</t>
  </si>
  <si>
    <t>Gpa</t>
  </si>
  <si>
    <t>v01</t>
  </si>
  <si>
    <t>kgs^-1</t>
  </si>
  <si>
    <t>Psum</t>
  </si>
  <si>
    <t>Gas Phase Adibatic Index</t>
  </si>
  <si>
    <t>T_amb</t>
  </si>
  <si>
    <t>Js^-1</t>
  </si>
  <si>
    <t>m ̇</t>
  </si>
  <si>
    <t>H ̇</t>
  </si>
  <si>
    <t>kgKs^-1</t>
  </si>
  <si>
    <t>ρlq</t>
  </si>
  <si>
    <t>acc</t>
  </si>
  <si>
    <t>ms^-2</t>
  </si>
  <si>
    <t>depth</t>
  </si>
  <si>
    <t>v2'</t>
  </si>
  <si>
    <t>mono</t>
  </si>
  <si>
    <t>dia</t>
  </si>
  <si>
    <t>poly</t>
  </si>
  <si>
    <t>cp</t>
  </si>
  <si>
    <t xml:space="preserve"> -atomic</t>
  </si>
  <si>
    <t>gas phase :</t>
  </si>
  <si>
    <t>T ̇splq</t>
  </si>
  <si>
    <t>Leak:</t>
  </si>
  <si>
    <t>dm/dt</t>
  </si>
  <si>
    <t>breakdown.</t>
  </si>
  <si>
    <t>Beam Quality</t>
  </si>
  <si>
    <t>steady state gas boiloff model</t>
  </si>
  <si>
    <t>steady state liquid leak model</t>
  </si>
  <si>
    <r>
      <t>Tboil</t>
    </r>
    <r>
      <rPr>
        <sz val="11"/>
        <color theme="2"/>
        <rFont val="Calibri"/>
        <family val="2"/>
      </rPr>
      <t>θ</t>
    </r>
  </si>
  <si>
    <r>
      <t>Hv</t>
    </r>
    <r>
      <rPr>
        <sz val="11"/>
        <color theme="2"/>
        <rFont val="Calibri"/>
        <family val="2"/>
      </rPr>
      <t>θ</t>
    </r>
  </si>
  <si>
    <r>
      <rPr>
        <sz val="11"/>
        <color theme="2"/>
        <rFont val="Calibri"/>
        <family val="2"/>
      </rPr>
      <t>Σ</t>
    </r>
    <r>
      <rPr>
        <sz val="11"/>
        <color theme="2"/>
        <rFont val="Calibri"/>
        <family val="2"/>
        <scheme val="minor"/>
      </rPr>
      <t>Sh</t>
    </r>
  </si>
  <si>
    <r>
      <rPr>
        <sz val="11"/>
        <color theme="2"/>
        <rFont val="Calibri"/>
        <family val="2"/>
      </rPr>
      <t>ρ</t>
    </r>
    <r>
      <rPr>
        <sz val="11"/>
        <color theme="2"/>
        <rFont val="Calibri"/>
        <family val="2"/>
        <scheme val="minor"/>
      </rPr>
      <t>01</t>
    </r>
  </si>
  <si>
    <r>
      <rPr>
        <sz val="11"/>
        <color theme="2"/>
        <rFont val="Calibri"/>
        <family val="2"/>
      </rPr>
      <t>ρ</t>
    </r>
    <r>
      <rPr>
        <sz val="11"/>
        <color theme="2"/>
        <rFont val="Calibri"/>
        <family val="2"/>
        <scheme val="minor"/>
      </rPr>
      <t>2</t>
    </r>
  </si>
  <si>
    <t>Data from CDE &amp; community material pack, compilation courtesy of 少女们5051(404119235@qq.com)</t>
  </si>
  <si>
    <t>Hf kJmol^-1</t>
  </si>
  <si>
    <t>CO2</t>
  </si>
  <si>
    <t>H2O</t>
  </si>
  <si>
    <t>CO</t>
  </si>
  <si>
    <t>N2</t>
  </si>
  <si>
    <t>O2</t>
  </si>
  <si>
    <t>NH3</t>
  </si>
  <si>
    <t>Decomposition Products</t>
  </si>
  <si>
    <t>ref</t>
  </si>
  <si>
    <t>Molecule</t>
  </si>
  <si>
    <t>Cp Jmol^-1K^-1</t>
  </si>
  <si>
    <t>no.</t>
  </si>
  <si>
    <t>Products</t>
  </si>
  <si>
    <t>dH kJmol^-1</t>
  </si>
  <si>
    <t>Adiabatic Flame Temp K</t>
  </si>
  <si>
    <t>Thanks to:</t>
  </si>
  <si>
    <t>Propellant</t>
  </si>
  <si>
    <t>Energy Density MJkg^-1</t>
  </si>
  <si>
    <t>loading</t>
  </si>
  <si>
    <t>Specific Gas Constant JKg^-1K^-1</t>
  </si>
  <si>
    <t>Gun Definition:</t>
  </si>
  <si>
    <t>Empirical:</t>
  </si>
  <si>
    <t>Gun</t>
  </si>
  <si>
    <t>Ar kgmol^-1</t>
  </si>
  <si>
    <t>Basic Analytical:</t>
  </si>
  <si>
    <t>JKg^-1</t>
  </si>
  <si>
    <t>Esp</t>
  </si>
  <si>
    <t>calibers</t>
  </si>
  <si>
    <t>m^3</t>
  </si>
  <si>
    <t>ζb</t>
  </si>
  <si>
    <t>Molar mass (g/mol)</t>
  </si>
  <si>
    <t>Cv Jmol^-1K^-1</t>
  </si>
  <si>
    <t>Corrected Analytical model</t>
  </si>
  <si>
    <t>twist</t>
  </si>
  <si>
    <t>caliber</t>
  </si>
  <si>
    <t>Ek</t>
  </si>
  <si>
    <t>recoil mass</t>
  </si>
  <si>
    <t>in</t>
  </si>
  <si>
    <t>lb</t>
  </si>
  <si>
    <t>in^3</t>
  </si>
  <si>
    <t>T ambient</t>
  </si>
  <si>
    <t>T flame</t>
  </si>
  <si>
    <t>Energy Loss:</t>
  </si>
  <si>
    <t>thermal</t>
  </si>
  <si>
    <t>frictional</t>
  </si>
  <si>
    <t>rotational</t>
  </si>
  <si>
    <t>gas inertia</t>
  </si>
  <si>
    <t>recoil</t>
  </si>
  <si>
    <t>Conventional Gun</t>
  </si>
  <si>
    <t>Data and Equaitions courtesy of Gunther Dyckmans at e-ballistics.com</t>
  </si>
  <si>
    <t>potential</t>
  </si>
  <si>
    <t>gas thermal</t>
  </si>
  <si>
    <t>gas internal</t>
  </si>
  <si>
    <t>projectile</t>
  </si>
  <si>
    <t>gas kinetic</t>
  </si>
  <si>
    <t>Autoignition Point K</t>
  </si>
  <si>
    <t>Le Duc details:</t>
  </si>
  <si>
    <t>%x</t>
  </si>
  <si>
    <t>L/D</t>
  </si>
  <si>
    <t>Sabot</t>
  </si>
  <si>
    <t>Penetrator</t>
  </si>
  <si>
    <t>Projectile Definiton:</t>
  </si>
  <si>
    <t>Lsabot</t>
  </si>
  <si>
    <t>Lpen</t>
  </si>
  <si>
    <t>Pb_Max</t>
  </si>
  <si>
    <t>MPa  @x=</t>
  </si>
  <si>
    <t>U.tensile str</t>
  </si>
  <si>
    <t>Ps_Max</t>
  </si>
  <si>
    <t>delta</t>
  </si>
  <si>
    <t>x m</t>
  </si>
  <si>
    <t>v ms^-1</t>
  </si>
  <si>
    <t>p MPa</t>
  </si>
  <si>
    <t xml:space="preserve">ρ load </t>
  </si>
  <si>
    <t>Vchamber</t>
  </si>
  <si>
    <t>Vbarrel</t>
  </si>
  <si>
    <t>Lbareel</t>
  </si>
  <si>
    <t>Mpa</t>
  </si>
  <si>
    <t>ΣM</t>
  </si>
  <si>
    <t>ΣI</t>
  </si>
  <si>
    <t>v0.5</t>
  </si>
  <si>
    <t>Conventional gun theory implemented, improved laser calculation &amp; Propellant leak effect simulation, optimized layout,etc</t>
  </si>
  <si>
    <t>Effectively a implementation of a modified Le Duc formula (c.early 20th century)</t>
  </si>
  <si>
    <t>Ra  m</t>
  </si>
  <si>
    <t>Safety Factor</t>
  </si>
  <si>
    <t>Rm  m</t>
  </si>
  <si>
    <t>dx=</t>
  </si>
  <si>
    <t>ΣM a/f</t>
  </si>
  <si>
    <t>ΣM mono</t>
  </si>
  <si>
    <t>Barrel construction details</t>
  </si>
  <si>
    <t>Monobloc:</t>
  </si>
  <si>
    <t>Autofrettaged:</t>
  </si>
  <si>
    <t>Rbore</t>
  </si>
  <si>
    <t>NO2</t>
  </si>
  <si>
    <t>BaO</t>
  </si>
  <si>
    <t>Realistic Loss rate will be between those two.</t>
  </si>
  <si>
    <t>Metrix Prefix Lookup Table</t>
  </si>
  <si>
    <t>Explosive Properties</t>
  </si>
  <si>
    <t>Ideal Gas Specific heat ratio @ room tempreature</t>
  </si>
  <si>
    <t>kgm^2</t>
  </si>
  <si>
    <t>I_approx</t>
  </si>
  <si>
    <t>aL/D</t>
  </si>
  <si>
    <t>d/D</t>
  </si>
  <si>
    <t>Projectile Definition:</t>
  </si>
  <si>
    <t>Armor Definition:</t>
  </si>
  <si>
    <t>Newton Approximation/Momentum model</t>
  </si>
  <si>
    <t>Model Selection:</t>
  </si>
  <si>
    <t>Single Slab/Armor Definition:</t>
  </si>
  <si>
    <t>Composite/Armor Definition:</t>
  </si>
  <si>
    <t>`</t>
  </si>
  <si>
    <t xml:space="preserve">  Sources:A THEORY FOR THE DECELERATION OF LONG RODS AFTER IMPACT, A.Tate, June 1967;Penetration Limits of Conventional Large Caliber Tank Guns/Kinetic Energy Projectiles, W.Lanz &amp; W.Odermatt, June 1992; Atomic Rockets(www.projectrho.com)/Conventional Weapon, as retrieved 2019
</t>
  </si>
  <si>
    <t>Herein we represent models describing long-rod penetrators based on the theory of A.Tate along with empirical model that validates aforementioned. Should give fairly accurate result when velocity is between 1kmps-4kmps.</t>
  </si>
  <si>
    <t>pen</t>
  </si>
  <si>
    <t>effective</t>
  </si>
  <si>
    <t xml:space="preserve">between </t>
  </si>
  <si>
    <t>(Tate.est)</t>
  </si>
  <si>
    <t>(Rosenberg.est)</t>
  </si>
  <si>
    <t>ricochet critical angle:</t>
  </si>
  <si>
    <t>Herein we represent empirical formula for the design of whipple shield as employed by NASA. Should give reasonable result for hypervelocity grain sized projectiles.</t>
  </si>
  <si>
    <t>Single Layer Whipple shield:</t>
  </si>
  <si>
    <t>Bumper:</t>
  </si>
  <si>
    <t>explosive</t>
  </si>
  <si>
    <t>Explosive Filler Definiton:</t>
  </si>
  <si>
    <t>type</t>
  </si>
  <si>
    <t>charge</t>
  </si>
  <si>
    <t>Herein we approximately model explosive damage to armor(HESH), using conservation of energy as basis.</t>
  </si>
  <si>
    <t>Model:</t>
  </si>
  <si>
    <t>Armor</t>
  </si>
  <si>
    <t>str</t>
  </si>
  <si>
    <t>shear.Modulus</t>
  </si>
  <si>
    <t>Crater Esp</t>
  </si>
  <si>
    <t>half-Sphere</t>
  </si>
  <si>
    <t>MJKg^-1</t>
  </si>
  <si>
    <t>Isotope</t>
  </si>
  <si>
    <t>Total MFP (cm)</t>
  </si>
  <si>
    <t>Density</t>
  </si>
  <si>
    <t>Alpha (1/microsecond)</t>
  </si>
  <si>
    <t>t_double (nanosecond)</t>
  </si>
  <si>
    <t>WG-Pu Alloy</t>
  </si>
  <si>
    <t>Scatter</t>
  </si>
  <si>
    <t>Fission</t>
  </si>
  <si>
    <t>Absorption</t>
  </si>
  <si>
    <t>Number Density (cm^-1barn^-1)</t>
  </si>
  <si>
    <t>Fissile:</t>
  </si>
  <si>
    <t>Ref</t>
  </si>
  <si>
    <t>Cross_total (barns,10^-24 cm^2)</t>
  </si>
  <si>
    <t>rho</t>
  </si>
  <si>
    <t>gcm^-3</t>
  </si>
  <si>
    <t>Critical Mass (kg)</t>
  </si>
  <si>
    <t>Fission Energy (ergs/gram)</t>
  </si>
  <si>
    <t>m_critical</t>
  </si>
  <si>
    <t>E_density</t>
  </si>
  <si>
    <t>ergs g^-1</t>
  </si>
  <si>
    <t>MFP</t>
  </si>
  <si>
    <t>Single Gun type</t>
  </si>
  <si>
    <t>Max Fissile Load</t>
  </si>
  <si>
    <t>Bare Core</t>
  </si>
  <si>
    <t>Fe 1MFP</t>
  </si>
  <si>
    <t>Be 1MFP</t>
  </si>
  <si>
    <t>respective critical mass</t>
  </si>
  <si>
    <t>Reflector Critical Mass Reduction Ratio</t>
  </si>
  <si>
    <t>Projectile:</t>
  </si>
  <si>
    <t>Gun Type Nuclear Devices:</t>
  </si>
  <si>
    <t>M_assembly</t>
  </si>
  <si>
    <t>r_critical</t>
  </si>
  <si>
    <t>insertion_vel</t>
  </si>
  <si>
    <t>t_double</t>
  </si>
  <si>
    <t>s</t>
  </si>
  <si>
    <t>SFR</t>
  </si>
  <si>
    <t>SFR (sec^-1kg^-1)</t>
  </si>
  <si>
    <t>M_propellant</t>
  </si>
  <si>
    <t>kg^-1s^-1</t>
  </si>
  <si>
    <t>s^-1</t>
  </si>
  <si>
    <t>SF Rinj</t>
  </si>
  <si>
    <t>insertion_t</t>
  </si>
  <si>
    <t>Target:</t>
  </si>
  <si>
    <t>Predetonation</t>
  </si>
  <si>
    <t>L_insertion</t>
  </si>
  <si>
    <t>Gun:</t>
  </si>
  <si>
    <t>Charge:</t>
  </si>
  <si>
    <t>L_c</t>
  </si>
  <si>
    <t>Bore</t>
  </si>
  <si>
    <t>R_bore:</t>
  </si>
  <si>
    <t>Assembly:</t>
  </si>
  <si>
    <t>M_rel</t>
  </si>
  <si>
    <t>Alpha_0</t>
  </si>
  <si>
    <t>Yield (kt)</t>
  </si>
  <si>
    <t>kJkg^-1</t>
  </si>
  <si>
    <t>P_peak</t>
  </si>
  <si>
    <t>rho_powder</t>
  </si>
  <si>
    <t>GPa</t>
  </si>
  <si>
    <t>R_outer</t>
  </si>
  <si>
    <t>Maraging Steel Barrel</t>
  </si>
  <si>
    <t>R_fissile</t>
  </si>
  <si>
    <t>R_assembly</t>
  </si>
  <si>
    <t>details:</t>
  </si>
  <si>
    <t>Y/W ktkg^-1</t>
  </si>
  <si>
    <t>M_barrel</t>
  </si>
  <si>
    <t>M_tamper</t>
  </si>
  <si>
    <t>M_holder</t>
  </si>
  <si>
    <t>Environment:</t>
  </si>
  <si>
    <t>A_sideral</t>
  </si>
  <si>
    <t>A_frontal</t>
  </si>
  <si>
    <t>A_avg</t>
  </si>
  <si>
    <t>Neut.Fluence</t>
  </si>
  <si>
    <t>m^-2s^-1</t>
  </si>
  <si>
    <t>Fusion</t>
  </si>
  <si>
    <t>M_core</t>
  </si>
  <si>
    <t>Reference Crit Mass:</t>
  </si>
  <si>
    <t>Bare core</t>
  </si>
  <si>
    <t>U/WC 1MFP</t>
  </si>
  <si>
    <t>Fe/WC/U</t>
  </si>
  <si>
    <t>With S.F.</t>
  </si>
  <si>
    <t>Implosion：</t>
  </si>
  <si>
    <t>ini_volume</t>
  </si>
  <si>
    <t>M_charge</t>
  </si>
  <si>
    <t>Spherical Solid Core Implosion type</t>
  </si>
  <si>
    <t>E_implosion</t>
  </si>
  <si>
    <t>eff_implosion</t>
  </si>
  <si>
    <t>*10^8 J</t>
  </si>
  <si>
    <t>comp_volume</t>
  </si>
  <si>
    <t>Compression</t>
  </si>
  <si>
    <t>thres</t>
  </si>
  <si>
    <t>comp_pres_kbar</t>
  </si>
  <si>
    <t>vel_sound</t>
  </si>
  <si>
    <t>Bulk Modulus (Gpa)</t>
  </si>
  <si>
    <t>Bulk.Mod</t>
  </si>
  <si>
    <t>HMX.shklmt</t>
  </si>
  <si>
    <t>Corr.factor</t>
  </si>
  <si>
    <t>Corr.Thres (kBar)</t>
  </si>
  <si>
    <t>Corrected:</t>
  </si>
  <si>
    <t>rel.Comp</t>
  </si>
  <si>
    <t>rho_crit</t>
  </si>
  <si>
    <t>Rough estimates of nuclear weapons design detail</t>
  </si>
  <si>
    <t>Table 4.1.2-2 Fissile Material Properties (1 MeV), courtesy of the Nuclear Weapons Archive</t>
  </si>
  <si>
    <t>M_a (kg)</t>
  </si>
  <si>
    <t>Casing:</t>
  </si>
  <si>
    <t>R_tamper</t>
  </si>
  <si>
    <t>R_charge</t>
  </si>
  <si>
    <t>T_implosion</t>
  </si>
  <si>
    <t xml:space="preserve">delayed Neut.@500m*several min </t>
  </si>
  <si>
    <t>in atmosphere</t>
  </si>
  <si>
    <t>Y/W kt/kg</t>
  </si>
  <si>
    <t>v0.6</t>
  </si>
  <si>
    <t>Sources: nuclearweaponarchive.org by Carey Sublette</t>
  </si>
  <si>
    <t xml:space="preserve">Dependencies: </t>
  </si>
  <si>
    <t xml:space="preserve">1.Solver add-on that came with Excel for numerical solving </t>
  </si>
  <si>
    <t>2.xlwings for custom numeric solver built for the Laser module</t>
  </si>
  <si>
    <t>C.crit.req</t>
  </si>
  <si>
    <t>A_fissile</t>
  </si>
  <si>
    <t>name</t>
  </si>
  <si>
    <t>Msp.radA (kgm^-2)</t>
  </si>
  <si>
    <t>Bubble Membrane</t>
  </si>
  <si>
    <t>op temp(K)</t>
  </si>
  <si>
    <t>Psp.radA (kWm^-2)</t>
  </si>
  <si>
    <t>Marangoni Flow</t>
  </si>
  <si>
    <t>Thermal:</t>
  </si>
  <si>
    <t>Thermal Management:</t>
  </si>
  <si>
    <t>Manual</t>
  </si>
  <si>
    <t>radiator:</t>
  </si>
  <si>
    <t>Radiators</t>
  </si>
  <si>
    <t>m^2 per side</t>
  </si>
  <si>
    <t>radiators:</t>
  </si>
  <si>
    <t>OR</t>
  </si>
  <si>
    <t>Evaporator</t>
  </si>
  <si>
    <t>Liquid Hydrogen</t>
  </si>
  <si>
    <t>material ref</t>
  </si>
  <si>
    <t>Z (gmol^-1)</t>
  </si>
  <si>
    <t>density (kgm^-3)</t>
  </si>
  <si>
    <t>Liquid Water</t>
  </si>
  <si>
    <t>Liquid Methane</t>
  </si>
  <si>
    <t>Solid Lithium</t>
  </si>
  <si>
    <t>Hc (kJkg^-1)</t>
  </si>
  <si>
    <t>Hc (kJm^-3)</t>
  </si>
  <si>
    <t>Hc (Jmol^-1)</t>
  </si>
  <si>
    <t>p.change point (K)</t>
  </si>
  <si>
    <t>m^3s^-1</t>
  </si>
  <si>
    <t>Lbreech</t>
  </si>
  <si>
    <t>M breech</t>
  </si>
  <si>
    <t>T break even</t>
  </si>
  <si>
    <t>&lt;              &gt;</t>
  </si>
  <si>
    <t>phase</t>
  </si>
  <si>
    <t>case length</t>
  </si>
  <si>
    <t>proj.length</t>
  </si>
  <si>
    <t>Catridge dimensions:</t>
  </si>
  <si>
    <t>phase:</t>
  </si>
  <si>
    <t>heatjump</t>
  </si>
  <si>
    <t>Speculative Nuclear damage using conservation of energy.</t>
  </si>
  <si>
    <t>phase change cooler:</t>
  </si>
  <si>
    <t>Data courtesy of:Periodic Table and Element Data in spreadsheet form
Copyright © 2007-2019 Jeff Bigler &lt;mrbigler @ mrbigler.com&gt; or &lt;jeff @ jeffbigler.org&gt;</t>
  </si>
  <si>
    <t>TOTAL</t>
  </si>
  <si>
    <t>Kinetic energy of fission fragments</t>
  </si>
  <si>
    <t>Instantaneous gamma rays</t>
  </si>
  <si>
    <t>Kinetic energy of neutrons</t>
  </si>
  <si>
    <t>Beta particles from product decay</t>
  </si>
  <si>
    <t>Gamma rays from product decay</t>
  </si>
  <si>
    <t>Neutrinos from product decay</t>
  </si>
  <si>
    <t>Fission Energy breakdown</t>
  </si>
  <si>
    <t>MeV</t>
  </si>
  <si>
    <t>Percentage</t>
  </si>
  <si>
    <t>Timescale</t>
  </si>
  <si>
    <t>μs</t>
  </si>
  <si>
    <t>ms</t>
  </si>
  <si>
    <t>&gt;s</t>
  </si>
  <si>
    <t>yield</t>
  </si>
  <si>
    <t>kt</t>
  </si>
  <si>
    <t>Armor:</t>
  </si>
  <si>
    <t>Range:</t>
  </si>
  <si>
    <t>ablation</t>
  </si>
  <si>
    <t>MJm^-3</t>
  </si>
  <si>
    <t>Weapon Effects Modeling</t>
  </si>
  <si>
    <t>Neut.Flux</t>
  </si>
  <si>
    <t>Xray dosage</t>
  </si>
  <si>
    <t>Gray</t>
  </si>
  <si>
    <t>Xray.Flux</t>
  </si>
  <si>
    <t>Neut dosage</t>
  </si>
  <si>
    <t>Immediate symptoms</t>
  </si>
  <si>
    <t>Latent phase</t>
  </si>
  <si>
    <t>Post-latent symptoms</t>
  </si>
  <si>
    <t>Prognosis</t>
  </si>
  <si>
    <t>0 - 0.5</t>
  </si>
  <si>
    <t>No obvious effect</t>
  </si>
  <si>
    <t>No obvious effect, except, possibly, minor blood changes and anorexia.</t>
  </si>
  <si>
    <t>Certain survival</t>
  </si>
  <si>
    <t>0.5 - 1.0</t>
  </si>
  <si>
    <t>Vomiting and nausea for about 1 day in 10 to 20% of exposed personnel. Fatigue, but no serious disability.</t>
  </si>
  <si>
    <t>days to weeks</t>
  </si>
  <si>
    <t>Almost certain survival</t>
  </si>
  <si>
    <t>1.0 - 2.0</t>
  </si>
  <si>
    <t>10 - 14 days</t>
  </si>
  <si>
    <t>Fatality rate is about 10%</t>
  </si>
  <si>
    <t>2.0 - 3.5</t>
  </si>
  <si>
    <t>7 - 14 days</t>
  </si>
  <si>
    <t>Fatality rate 35% to 40%</t>
  </si>
  <si>
    <t>3.5 - 5.5</t>
  </si>
  <si>
    <t>Fatality rate 50% within 6 weeks</t>
  </si>
  <si>
    <t>5.5 - 7.5</t>
  </si>
  <si>
    <t>Severe nausea and vomiting within 15 - 30 minutes, lasting up to 2 days, followed by severe symptoms of radiation sickness, as above.</t>
  </si>
  <si>
    <t>5 - 10 days</t>
  </si>
  <si>
    <t>Hair loss, internal bleeding, severe bone marrow damage leading to complete failure of blood system, high risk of infection, moderate gastrointestinal damage. Gastrointestinal Syndrome. Survival depends on stringent medical intervention. Bone marrow is nearly or completely destroyed, requiring marrow transfusions. Gastrointestinal tissues are increasingly affected. The final phase lasts 1 to 4 weeks, ending in death from infection and internal bleeding. Recovery, if it occurs, takes years and may never be complete. Survivors convalescent for about 6 months.</t>
  </si>
  <si>
    <t>Death probable within 3 weeks</t>
  </si>
  <si>
    <t>7.5 - 10</t>
  </si>
  <si>
    <t>Excruciating nausea and vomiting within 5 - 15 minutes, lasting for several days</t>
  </si>
  <si>
    <t>5 - 7 days</t>
  </si>
  <si>
    <t>Hair loss, internal bleeding, severe bone marrow damage leading to complete failure of blood system, high risk of infection, severe gastrointestinal damage.</t>
  </si>
  <si>
    <t>Death almost certain within 3 weeks. Complete recovery impossible.</t>
  </si>
  <si>
    <t>Immediate nausea occurs due to direct activation of the chemoreceptive nausea center in the brain. The onset time 5 minutes.</t>
  </si>
  <si>
    <t>Certain death in one week or less.</t>
  </si>
  <si>
    <t>20 - 80</t>
  </si>
  <si>
    <t>Immediate disorientation and coma will result, onset is within seconds to minutes.</t>
  </si>
  <si>
    <t>CNS Syndrome. Metabolic disruption is severe enough to interfere with the nervous system. Convulsions occur which may be controlled with sedation. Victim may linger for up to 48 hours before dying.</t>
  </si>
  <si>
    <t>Certain death</t>
  </si>
  <si>
    <t>&gt; 80</t>
  </si>
  <si>
    <t>Coma</t>
  </si>
  <si>
    <t>Dose (Grays)</t>
  </si>
  <si>
    <t>In this dose range no obvious sickness occurs. Detectable changes in blood cells begin to occur at 0.25 Gy, but occur consistently only above 0.50 Gy. These changes involve fluctuations in the overall white blood cell count (with drops in lymphocytes), drops in platelet counts, and less severe drops in red blood cell counts. These changes set in over a period of days and may require months to disappear. They are detectable only by lab tests. At 0.50 Gy atrophy of lymph glands becomes noticeable. Impairment to the immune system could increase the susceptibility to disease. Depression of sperm production becomes noticeable at 0.20 Gy, an exposure of 0.80 Gy has a 50% chance of causing temporary sterility in males. At 0.75 Gy there is a 10% chance of nausea.</t>
  </si>
  <si>
    <t>Mild acute symptoms occur in this range. Symptoms begin to appear at 1 Gy, and become common at 2 Gy. Typical effects are mild to moderate nausea (50% probability at 2 Gy) , with occasional vomiting, setting in within 3-6 hours after exposure, and lasting several hours to a day. This will be followed by other symptoms of radiation sickness in up to 50% of personnel.</t>
  </si>
  <si>
    <t>Tissues primarily affected are the hematopoietic (blood forming) tissues, sperm forming tissues are also vulnerable. Blood changes set in and increase steadily during the latency period as blood cells die naturally and are not replaced. A reduction of approximately 50% in lymphocytes and neutrophils will occur. There is a 10% chance of temporary hair loss. Mild clinical symptoms return in 10-14 days. These symptoms include loss of appetite (50% probability at 1.5 Gy), malaise, and fatigue (50% probability at 2 Gy), and last up to 4 weeks. Recovery from other injuries is impaired and there is enhanced risk of infection. Temporary male sterility is universal. The higher the dosage in this range, the more likely the effects, the faster symptoms appear, the shorter the latency period, and the longer the duration of illness.</t>
  </si>
  <si>
    <t>Nausea becomes universal, the incidence of vomiting reaches 50% at 2.8 Gy and 100% at 3 Gy. Nausea and possible vomiting starting 1 to 6 hours after irradiation and lasting up to 2 days. This will be followed by other symptoms of radiation sickness, e.g., loss of appetite, diarrhea, minor hemorrhage</t>
  </si>
  <si>
    <t>Illness becomes increasingly severe, and significant mortality sets in. Hematopoietic tissues are still the major affected organ system. When symptoms recur, the may include epilation (hair loss, 50% probability at 3 Gy), malaise, fatigue, diarrhea (50% prob. at 3.5 Gy), and hemorrhage (uncontrolled bleeding) of the mouth, subcutaneous tissue and kidney (50% prob. at 4 Gy). Suppression of white blood cells is severe, susceptibility to infection becomes serious. At 3 Gy the mortality rate without medical treatment becomes substantial (about 10%). The possibility of permanent sterility in females begins to appear. Recovery takes 1 to 3 months.</t>
  </si>
  <si>
    <t>Nausea and vomiting within half an hour, lasting up to 2 days. This will be followed by other symptoms of radiation sickness, e.g., fever, hemorrhage, diarrhea, emaciation.</t>
  </si>
  <si>
    <t>Hair loss, internal bleeding, severe bone marrow damage with high risk of bleeding and infection. Hemopoietic Syndrome. Mortality rises steeply in this dose range, from around 50% at 4.5 Gy (LD50) to 90% at 6 Gy (unless heroic medical intervention takes place). Hematopoietic tissues remain the major affected organ system. The symptoms listed for 2.0-3.5 Gy increase in prevalence and severity, reaching 100% occurrence at 6 Gy. When death occurs, it is usually 2-12 weeks after exposure and results from infection and hemorrhage. Recovery takes several months to a year, blood cell counts may take even longer to return to normal. Female sterility becomes probable. Survivors convalescent for about 6 months.</t>
  </si>
  <si>
    <t>Very high exposures can sufficient metabolic disruption to cause immediate symptoms. Above 10 Gy rapid cell death in the gastrointestinal system causes severe diarrhea, intestinal bleeding, and loss of fluids, and disturbance of electrolyte balance. These effects can cause death within hours of onset from circulatory collapse. Following an initial bout of severe nausea and weakness, a period of apparent well-being lasting a few hours to a few days may follow (called the "walking ghost" phase). This is followed by the terminal phase which lasts 5 - 12 days. In rapid succession prostration, diarrhea, anorexia, and fever follow. Death is certain, often preceded by delirium and coma. Therapy is only to relieve suffering.</t>
  </si>
  <si>
    <t>The U.S. military assumes that 80 Gy of fast neutron radiation (from a neutron bomb) will immediately and permanently incapacitate a soldier. Lethal within 24 hours due to damage to central nervous system.</t>
  </si>
  <si>
    <t>10.0 - 20.0</t>
  </si>
  <si>
    <t>Table of human reaction to radiation, from Atomic Rockets (http://www.projectrho.com/public_html/rocket/radiation.php#effects)</t>
  </si>
  <si>
    <t>Enhanced Radiation Warhead (80%neut 20% X)</t>
  </si>
  <si>
    <t>Warhead (80%-83%X 20%neut)</t>
  </si>
  <si>
    <t>unshielded</t>
  </si>
  <si>
    <t>Parrafin</t>
  </si>
  <si>
    <t>Steel</t>
  </si>
  <si>
    <t xml:space="preserve">Lead </t>
  </si>
  <si>
    <t>rho(kgm^-3)</t>
  </si>
  <si>
    <t>HVT (m)</t>
  </si>
  <si>
    <t>Neutron (4MeV)</t>
  </si>
  <si>
    <t>HVspD (kgm^-2)</t>
  </si>
  <si>
    <t>HEPW</t>
  </si>
  <si>
    <t>X/gamma</t>
  </si>
  <si>
    <t>Lithium Hydroxide</t>
  </si>
  <si>
    <t>shield</t>
  </si>
  <si>
    <t>GCR</t>
  </si>
  <si>
    <t>Shielded</t>
  </si>
  <si>
    <t>Xray</t>
  </si>
  <si>
    <t>Neut</t>
  </si>
  <si>
    <t>ly.1</t>
  </si>
  <si>
    <t>ly.2</t>
  </si>
  <si>
    <t>ly.1:</t>
  </si>
  <si>
    <t>sect.rho</t>
  </si>
  <si>
    <t>kgm^-2</t>
  </si>
  <si>
    <t>ly.2:</t>
  </si>
  <si>
    <t>Criteria</t>
  </si>
  <si>
    <t>General Public</t>
  </si>
  <si>
    <t>Occupational Workers</t>
  </si>
  <si>
    <t>Astronauts</t>
  </si>
  <si>
    <t>30-day limit</t>
  </si>
  <si>
    <t>0.0004 Sieverts (0.4 milli-Sieverts)</t>
  </si>
  <si>
    <t>0.004 Sieverts</t>
  </si>
  <si>
    <t>1.5 Sieverts</t>
  </si>
  <si>
    <t>annual limit</t>
  </si>
  <si>
    <t>Adult: 0.05 Sieverts</t>
  </si>
  <si>
    <t>minor: 0.005 Sieverts</t>
  </si>
  <si>
    <t>Colonist: 0.02 Sieverts</t>
  </si>
  <si>
    <t>Pregnant colonist: 0.0066 Gray</t>
  </si>
  <si>
    <t>0.05 Sieverts</t>
  </si>
  <si>
    <t>3 Sieverts</t>
  </si>
  <si>
    <t>Male career limit</t>
  </si>
  <si>
    <t>N/A</t>
  </si>
  <si>
    <t>2 + 0.075 x (age - 30) Sieverts</t>
  </si>
  <si>
    <t>4 Sieverts</t>
  </si>
  <si>
    <t>Female career limit</t>
  </si>
  <si>
    <t>2 + 0.075 x (age - 38) Sieverts</t>
  </si>
  <si>
    <t>0.005 Sieverts</t>
  </si>
  <si>
    <t>accident limit</t>
  </si>
  <si>
    <t>0.25 Sieverts</t>
  </si>
  <si>
    <t>1 Sievert</t>
  </si>
  <si>
    <t>acute limit</t>
  </si>
  <si>
    <t>0.1 Sieverts</t>
  </si>
  <si>
    <t>Pregnancy limit 
(9 months)</t>
  </si>
  <si>
    <t>Chronic exposure limits:</t>
  </si>
  <si>
    <t>Sv</t>
  </si>
  <si>
    <t>Propulsion</t>
  </si>
  <si>
    <t>Code</t>
  </si>
  <si>
    <t>T/W</t>
  </si>
  <si>
    <t>DAWN mission NSTAR</t>
  </si>
  <si>
    <t>ESTAT</t>
  </si>
  <si>
    <t>ETHERM</t>
  </si>
  <si>
    <t>NTR SOLID</t>
  </si>
  <si>
    <t>ArcJet</t>
  </si>
  <si>
    <t>EMAG</t>
  </si>
  <si>
    <t>PULSE</t>
  </si>
  <si>
    <t>VASIMR (low gear)</t>
  </si>
  <si>
    <t>VASIMR (high gear)</t>
  </si>
  <si>
    <t>VASIMR (med gear)</t>
  </si>
  <si>
    <t>Space Shuttle RCS</t>
  </si>
  <si>
    <t>CHEM LIQ</t>
  </si>
  <si>
    <t>Mirror Steamer</t>
  </si>
  <si>
    <t>BEAM</t>
  </si>
  <si>
    <t>Monatomic-H MITEE</t>
  </si>
  <si>
    <t>HybridMITEE</t>
  </si>
  <si>
    <t>Solar Moth</t>
  </si>
  <si>
    <t>Antimatter-Driven Sail</t>
  </si>
  <si>
    <t>NTR FRAG</t>
  </si>
  <si>
    <t>Hall Effect</t>
  </si>
  <si>
    <t>Pulsed Plasmoid Thruster</t>
  </si>
  <si>
    <t>Ponderomotive VASIMR</t>
  </si>
  <si>
    <t>Wakefield E-Beam</t>
  </si>
  <si>
    <t>Ablative Laser</t>
  </si>
  <si>
    <t>MPD T-Wave</t>
  </si>
  <si>
    <t>Tungsten Resistojet</t>
  </si>
  <si>
    <t>NASA space tug</t>
  </si>
  <si>
    <t>Mass Driver</t>
  </si>
  <si>
    <t>OTHER</t>
  </si>
  <si>
    <t>Ion Drive</t>
  </si>
  <si>
    <t>MET Steamer Amplitrons</t>
  </si>
  <si>
    <t>NERVA (CO or N2)</t>
  </si>
  <si>
    <t>LPNTR High Gear</t>
  </si>
  <si>
    <t>Basic MITEE</t>
  </si>
  <si>
    <t>NERVA (CO2)</t>
  </si>
  <si>
    <t>NERVA (H2O)</t>
  </si>
  <si>
    <t>Werka FFRE</t>
  </si>
  <si>
    <t>NERVA (NH3)</t>
  </si>
  <si>
    <t>D-D Fusion Inertial</t>
  </si>
  <si>
    <t>NERVA (CH4)</t>
  </si>
  <si>
    <t>Twisted Ribbon RD-0140</t>
  </si>
  <si>
    <t>Dusty Plasma (550AU)</t>
  </si>
  <si>
    <t>Colloid Thruster</t>
  </si>
  <si>
    <t>LARS</t>
  </si>
  <si>
    <t>NTR LIQUID</t>
  </si>
  <si>
    <t>NERVA (H2)</t>
  </si>
  <si>
    <t>Laser Thermal</t>
  </si>
  <si>
    <t>LPNTR Low Gear</t>
  </si>
  <si>
    <t>Twisted Ribbon NPPS</t>
  </si>
  <si>
    <t>SNRE-class</t>
  </si>
  <si>
    <t>H-B Cat Inertial</t>
  </si>
  <si>
    <t>Aluminum/LOX rocket</t>
  </si>
  <si>
    <t>NERVA (H)</t>
  </si>
  <si>
    <t>FUSION</t>
  </si>
  <si>
    <t>Vortex Confined (H2)</t>
  </si>
  <si>
    <t>NTR GAS OP</t>
  </si>
  <si>
    <t>Pewee-class</t>
  </si>
  <si>
    <t>LH2/LOX rocket</t>
  </si>
  <si>
    <t>VCR Light Bulb (H2)</t>
  </si>
  <si>
    <t>NTR GAS CL</t>
  </si>
  <si>
    <t>Dual-mode Fission (H2)</t>
  </si>
  <si>
    <t>H-Li6 Fusor</t>
  </si>
  <si>
    <t>Cermet NERVA (H2)</t>
  </si>
  <si>
    <t>Z-Pinch Microfission</t>
  </si>
  <si>
    <t>Afterburner FFRE</t>
  </si>
  <si>
    <t>Dual-mode PB (H2)</t>
  </si>
  <si>
    <t>Bimodal NTR Solid (NASA)</t>
  </si>
  <si>
    <t>NERVA Deriv (H2)</t>
  </si>
  <si>
    <t>Antimatter Bottle</t>
  </si>
  <si>
    <t>Metastable He*</t>
  </si>
  <si>
    <t>CHEM</t>
  </si>
  <si>
    <t>n-6Li Microfission</t>
  </si>
  <si>
    <t>Pebble Bed (H2)</t>
  </si>
  <si>
    <t>Vapor Core (H2)</t>
  </si>
  <si>
    <t>NTR VAPOR</t>
  </si>
  <si>
    <t>Twisted ribbon NTR</t>
  </si>
  <si>
    <t>3He-D Mirror Cell</t>
  </si>
  <si>
    <t>HOPE MTF</t>
  </si>
  <si>
    <t>Cermet (H2)</t>
  </si>
  <si>
    <t>D-T Fusion Tokamak</t>
  </si>
  <si>
    <t>p-Nerva (NRX)</t>
  </si>
  <si>
    <t>AM SOLID</t>
  </si>
  <si>
    <t>Dusty Plasma (0.5LY)</t>
  </si>
  <si>
    <t>Proton RD-253 x1</t>
  </si>
  <si>
    <t>PuFF Pulsed Fission Fusion</t>
  </si>
  <si>
    <t>Magnetoplasmadynamic</t>
  </si>
  <si>
    <t>HOPE Z-Pinch</t>
  </si>
  <si>
    <t>NTR Gas/Closed (H2)</t>
  </si>
  <si>
    <t>Dumbo (CO or N2)</t>
  </si>
  <si>
    <t>Atomic V-2</t>
  </si>
  <si>
    <t>ORION Fission</t>
  </si>
  <si>
    <t>Dumbo (CO2)</t>
  </si>
  <si>
    <t>Dumbo (H2O)</t>
  </si>
  <si>
    <t>Dumbo (NH3)</t>
  </si>
  <si>
    <t>ORION Fusion</t>
  </si>
  <si>
    <t>Dumbo (CH4)</t>
  </si>
  <si>
    <t>Saturn-V F-1 x1</t>
  </si>
  <si>
    <t>ACMF (ICAN-II)</t>
  </si>
  <si>
    <t>Space Shuttle SSME x3</t>
  </si>
  <si>
    <t>Dumbo (H2)</t>
  </si>
  <si>
    <t>CHEM SOLID</t>
  </si>
  <si>
    <t>Proton RD-253 x6</t>
  </si>
  <si>
    <t>Project Orion</t>
  </si>
  <si>
    <t>Nuclear DC-X NERVA</t>
  </si>
  <si>
    <t>Dumbo (H)</t>
  </si>
  <si>
    <t>Mini-Mag Orion (DRM-3)</t>
  </si>
  <si>
    <t>Antimatter Plasma (H2O)</t>
  </si>
  <si>
    <t>AM PLASMA</t>
  </si>
  <si>
    <t>Mini-Mag Orion (DRM-1)</t>
  </si>
  <si>
    <t>ORION USAF 10m</t>
  </si>
  <si>
    <t>NTR Solid MAX</t>
  </si>
  <si>
    <t>Nuclear DC-X LANTR</t>
  </si>
  <si>
    <t>NTR Liquid max</t>
  </si>
  <si>
    <t>Luna</t>
  </si>
  <si>
    <t>Saturn-V F-1 x5</t>
  </si>
  <si>
    <t>NTR Gas/Open (H2)</t>
  </si>
  <si>
    <t>NTR Gas/Open 2nd Gen</t>
  </si>
  <si>
    <t>Mini-Mag Orion</t>
  </si>
  <si>
    <t>NTR Gas MAX</t>
  </si>
  <si>
    <t>NTR Gas/Coaxial (H2)</t>
  </si>
  <si>
    <t>Antimatter Plasma (H2)</t>
  </si>
  <si>
    <t>Salt-water Zubrin</t>
  </si>
  <si>
    <t>NSWR (20% UTB)</t>
  </si>
  <si>
    <t>Liberty Ship</t>
  </si>
  <si>
    <t>ORION battleship</t>
  </si>
  <si>
    <t>ORION 10k ton adv</t>
  </si>
  <si>
    <t>ORION MAX</t>
  </si>
  <si>
    <t>Antimatter Beam MAX</t>
  </si>
  <si>
    <t>AM BEAM</t>
  </si>
  <si>
    <t>Exhaust Velocity (m/s)</t>
  </si>
  <si>
    <t>Specific Impulse (s)</t>
  </si>
  <si>
    <t>Thrust (N)</t>
  </si>
  <si>
    <t>Engine Mass (kg)</t>
  </si>
  <si>
    <t>Thrust Power (MW)</t>
  </si>
  <si>
    <t>Data from mr.Winchell Chung at the amazing www.projectrho.com, source, reference &amp; in-depth analysis for each individual rockets can be found there</t>
  </si>
  <si>
    <t>Ref.Code</t>
  </si>
  <si>
    <t>LH2</t>
  </si>
  <si>
    <t>UDMH/NTO</t>
  </si>
  <si>
    <t>Solar</t>
  </si>
  <si>
    <t>U-235,low pres</t>
  </si>
  <si>
    <t>U-235,two stage,electric reheat</t>
  </si>
  <si>
    <t>Antimatter driven,double as harvester</t>
  </si>
  <si>
    <t>AM/C</t>
  </si>
  <si>
    <t>Seeded LH2</t>
  </si>
  <si>
    <t>He*</t>
  </si>
  <si>
    <t>Al/LOX</t>
  </si>
  <si>
    <t>LH2/LOX</t>
  </si>
  <si>
    <t>MMH/NTO</t>
  </si>
  <si>
    <t>RP-1/LOX</t>
  </si>
  <si>
    <t>AL/AP</t>
  </si>
  <si>
    <t>Regolith</t>
  </si>
  <si>
    <t>Regolith entrained by superfluid He</t>
  </si>
  <si>
    <t>Mg Colloid</t>
  </si>
  <si>
    <t>CH4</t>
  </si>
  <si>
    <t>CO or N2</t>
  </si>
  <si>
    <t>Low Pressure NTR</t>
  </si>
  <si>
    <t>LOX-augmented NTR,U-235</t>
  </si>
  <si>
    <t>Low Pressure NTR,U-235</t>
  </si>
  <si>
    <t>Miniature ReacTor EnginE,U-235</t>
  </si>
  <si>
    <t>USSR,Nuclear Power Propulsion System,U-235</t>
  </si>
  <si>
    <t>USSR,Hexane additive,U-235</t>
  </si>
  <si>
    <t>Small Nuclear Rocket Engine,U-235</t>
  </si>
  <si>
    <t>Bimodal</t>
  </si>
  <si>
    <t>Bimodal Generation (MWe)</t>
  </si>
  <si>
    <t>Ceramic Metal Tungsten-Clad</t>
  </si>
  <si>
    <t>Intermediate design</t>
  </si>
  <si>
    <t>Saltwater</t>
  </si>
  <si>
    <t>anti-H2/H2</t>
  </si>
  <si>
    <t>proton-proton annhilation</t>
  </si>
  <si>
    <t>H2-H2 annhilation</t>
  </si>
  <si>
    <t>H/Li6</t>
  </si>
  <si>
    <t>3He/D</t>
  </si>
  <si>
    <t>D/T</t>
  </si>
  <si>
    <t>D/D</t>
  </si>
  <si>
    <t>Magnetized Target Fusion</t>
  </si>
  <si>
    <t>235U</t>
  </si>
  <si>
    <t>239PuCarbide</t>
  </si>
  <si>
    <t>91t of hydrocarbon moderator</t>
  </si>
  <si>
    <t>H2/235U</t>
  </si>
  <si>
    <t>seeded, 235UF6</t>
  </si>
  <si>
    <t>Some UF6 escape</t>
  </si>
  <si>
    <t>UF6 loses</t>
  </si>
  <si>
    <t>abandoned concept, &lt;25times escape ratio</t>
  </si>
  <si>
    <t>NSWR!</t>
  </si>
  <si>
    <t>Open core GCNR</t>
  </si>
  <si>
    <t>Liquid Annular Reactor Systems</t>
  </si>
  <si>
    <t>antimatter cataclyzed hydrogen boron fusion</t>
  </si>
  <si>
    <t>mylar</t>
  </si>
  <si>
    <t>Cm reflected by Be</t>
  </si>
  <si>
    <t>Ultracold neutron cataclyzed microfission of 6Li</t>
  </si>
  <si>
    <t>D/T/6Li</t>
  </si>
  <si>
    <t>Pulse Unit</t>
  </si>
  <si>
    <t>Yield</t>
  </si>
  <si>
    <t>Mass</t>
  </si>
  <si>
    <t>Dia.</t>
  </si>
  <si>
    <t>Height</t>
  </si>
  <si>
    <t>141 kg</t>
  </si>
  <si>
    <t>0.86 s</t>
  </si>
  <si>
    <t>18,200 m/s</t>
  </si>
  <si>
    <t>(1,850 s)</t>
  </si>
  <si>
    <t>3.0×106 N</t>
  </si>
  <si>
    <t>3.5×106 N</t>
  </si>
  <si>
    <t>1 kt</t>
  </si>
  <si>
    <t>0.33 m</t>
  </si>
  <si>
    <t>0.61 m</t>
  </si>
  <si>
    <t>1 s</t>
  </si>
  <si>
    <t>1.5×105 m/s</t>
  </si>
  <si>
    <t>25,800 m/s</t>
  </si>
  <si>
    <t>(2,630 s)</t>
  </si>
  <si>
    <t>2.0×106 N</t>
  </si>
  <si>
    <t>450 kg</t>
  </si>
  <si>
    <t>0.87 s</t>
  </si>
  <si>
    <t>30,900 m/s</t>
  </si>
  <si>
    <t>(3,150 s)</t>
  </si>
  <si>
    <t>1.4×107 N</t>
  </si>
  <si>
    <t>1.6×107 N</t>
  </si>
  <si>
    <t>0.15 kt</t>
  </si>
  <si>
    <t>1,152 kg</t>
  </si>
  <si>
    <t>0.81 m</t>
  </si>
  <si>
    <t>0.86 m</t>
  </si>
  <si>
    <t>1.1 s</t>
  </si>
  <si>
    <t>1.17×105 m/s</t>
  </si>
  <si>
    <t>42,120 m/s</t>
  </si>
  <si>
    <t>(4,300 s)</t>
  </si>
  <si>
    <t>8.8×107 N</t>
  </si>
  <si>
    <t>8.0×107 N</t>
  </si>
  <si>
    <t>5 kt</t>
  </si>
  <si>
    <t>0.35 kt</t>
  </si>
  <si>
    <t>118,000 m/s</t>
  </si>
  <si>
    <t>(12,000 s)</t>
  </si>
  <si>
    <t>4.0×108</t>
  </si>
  <si>
    <t>15 kt</t>
  </si>
  <si>
    <t>29 kt</t>
  </si>
  <si>
    <t>1,150 kg</t>
  </si>
  <si>
    <t>0.8 m</t>
  </si>
  <si>
    <t>Curium-245 compressed to fission by Z-pinch</t>
  </si>
  <si>
    <t>Curium</t>
  </si>
  <si>
    <t>antiproton cataclyzed micro fission</t>
  </si>
  <si>
    <t>SiC</t>
  </si>
  <si>
    <t>Propellant Density (kgm^-3)</t>
  </si>
  <si>
    <t>Tankage Mass Ratio</t>
  </si>
  <si>
    <t>Centrifugal confined fission of U235</t>
  </si>
  <si>
    <t>shaped charge curium bomb</t>
  </si>
  <si>
    <t>High mass due to being highly pressurized</t>
  </si>
  <si>
    <t>AMFF</t>
  </si>
  <si>
    <t>VHMF(50T),antiproton-proton annhilation, a-H2 ice</t>
  </si>
  <si>
    <t>bore dia</t>
  </si>
  <si>
    <t>sub dia</t>
  </si>
  <si>
    <t>case dia</t>
  </si>
  <si>
    <t>total length</t>
  </si>
  <si>
    <t>Propellant (percent)</t>
  </si>
  <si>
    <t>Det.Interval</t>
  </si>
  <si>
    <t>Propellant Velocity</t>
  </si>
  <si>
    <t>Effective Exhaust Velocity (Isp)</t>
  </si>
  <si>
    <t>Thrust per unit</t>
  </si>
  <si>
    <t>Effective Thrust</t>
  </si>
  <si>
    <t>USAF 10m Orion (vacuum)</t>
  </si>
  <si>
    <t>20m Orion (vacuum)</t>
  </si>
  <si>
    <t>4000T Orion (atmo)</t>
  </si>
  <si>
    <t>4000T Orion (vacuum)</t>
  </si>
  <si>
    <t>10,000T Orion (atmo)</t>
  </si>
  <si>
    <t>10,000T Orion (vacuum)</t>
  </si>
  <si>
    <t>20,000T Orion (vacuum)</t>
  </si>
  <si>
    <t>NASA 10m Orion (vacuum)</t>
  </si>
  <si>
    <t>79(86?)kg</t>
  </si>
  <si>
    <t>34.3 kg(40%)</t>
  </si>
  <si>
    <t>415 kg (36%)</t>
  </si>
  <si>
    <t>D/T/6Li/U/AM</t>
  </si>
  <si>
    <t>L'</t>
  </si>
  <si>
    <t>Rail</t>
  </si>
  <si>
    <t>R'</t>
  </si>
  <si>
    <t>Armature</t>
  </si>
  <si>
    <t>Projectile</t>
  </si>
  <si>
    <t>μHm^-1</t>
  </si>
  <si>
    <t>μΩm^-1</t>
  </si>
  <si>
    <t>MA</t>
  </si>
  <si>
    <t>simple Lumped circuit model of solid armature railgun,launch current constant</t>
  </si>
  <si>
    <t>t</t>
  </si>
  <si>
    <t>X/%</t>
  </si>
  <si>
    <t>MJ</t>
  </si>
  <si>
    <t>KE</t>
  </si>
  <si>
    <t>η</t>
  </si>
  <si>
    <t>Performance:</t>
  </si>
  <si>
    <t>Powersource:</t>
  </si>
  <si>
    <t>safe.factor</t>
  </si>
  <si>
    <t>System:</t>
  </si>
  <si>
    <t>Fc buckle</t>
  </si>
  <si>
    <t>L</t>
  </si>
  <si>
    <t>v0.7</t>
  </si>
  <si>
    <t>(Over) Simplistic model of railgun implemented and general cleanup of user interface.</t>
  </si>
  <si>
    <t>Steady State Model for the leakage of propellant after propellant tank penetration.</t>
  </si>
  <si>
    <t>Cyclonite
RDX</t>
  </si>
  <si>
    <t>Octogen
HMX</t>
  </si>
  <si>
    <t>(Solids)</t>
  </si>
  <si>
    <t>Nitroglycerine</t>
  </si>
  <si>
    <t>Constant Discharge Capacitor:</t>
  </si>
  <si>
    <t>Area</t>
  </si>
  <si>
    <t>sep</t>
  </si>
  <si>
    <t>Dielectric</t>
  </si>
  <si>
    <t>Capacitance</t>
  </si>
  <si>
    <t>U break</t>
  </si>
  <si>
    <t>U/V</t>
  </si>
  <si>
    <t>µm</t>
  </si>
  <si>
    <t>Compulsator: (thin cylinder)</t>
  </si>
  <si>
    <t>Heat</t>
  </si>
  <si>
    <t>M rail</t>
  </si>
  <si>
    <t>ΔT r</t>
  </si>
  <si>
    <t>kJ</t>
  </si>
  <si>
    <t>F rep</t>
  </si>
  <si>
    <t>MN</t>
  </si>
  <si>
    <t>ΣF</t>
  </si>
  <si>
    <t>Det Vel ms^-1</t>
  </si>
  <si>
    <t>Sp.Impulse ms^-1</t>
  </si>
  <si>
    <t>Gurney Vel</t>
  </si>
  <si>
    <t>Circular Fragmentation warhead:</t>
  </si>
  <si>
    <t>Explosive:</t>
  </si>
  <si>
    <t>Flyer:</t>
  </si>
  <si>
    <t>Fragments:</t>
  </si>
  <si>
    <t>FF(Ma)</t>
  </si>
  <si>
    <t>R</t>
  </si>
  <si>
    <t>Distribution:</t>
  </si>
  <si>
    <t>mass/kg</t>
  </si>
  <si>
    <t>m.avg</t>
  </si>
  <si>
    <t>n.</t>
  </si>
  <si>
    <t>mass range</t>
  </si>
  <si>
    <t>avg.KE</t>
  </si>
  <si>
    <t>ΣKE</t>
  </si>
  <si>
    <t>typ.radius /m</t>
  </si>
  <si>
    <t>Fragmentation Warhead modeling</t>
  </si>
  <si>
    <t>fragmentation velocity modeled using classic Gurney equation</t>
  </si>
  <si>
    <t>Source:      Fragmentation of H.E. Shells:a Theoretical Formula for the Distributionof Weights of Fragments,N.F. Mott(March 1943) Ministry of Supply, A.C. 3642</t>
  </si>
  <si>
    <t>Note: to be within GCR exposure limit on lengthscale of years, 4500kgm^-2 is necessary.</t>
  </si>
  <si>
    <t>no</t>
  </si>
  <si>
    <t>fire rate</t>
  </si>
  <si>
    <t>accuracy</t>
  </si>
  <si>
    <t>muzzle vel</t>
  </si>
  <si>
    <t>MOA cone</t>
  </si>
  <si>
    <t>rpm</t>
  </si>
  <si>
    <t>front dia</t>
  </si>
  <si>
    <t>acceleration</t>
  </si>
  <si>
    <t>Engagement</t>
  </si>
  <si>
    <t>max fire range</t>
  </si>
  <si>
    <t>min fire range</t>
  </si>
  <si>
    <t>km</t>
  </si>
  <si>
    <t>Target Cylinder</t>
  </si>
  <si>
    <t>initial vel</t>
  </si>
  <si>
    <t>cm @100m</t>
  </si>
  <si>
    <t>⌀</t>
  </si>
  <si>
    <t>Result</t>
  </si>
  <si>
    <t>Hit Rate</t>
  </si>
  <si>
    <t>S frontal</t>
  </si>
  <si>
    <t>S avg</t>
  </si>
  <si>
    <t>Dodging</t>
  </si>
  <si>
    <t>Homing</t>
  </si>
  <si>
    <t>Targeting/EW</t>
  </si>
  <si>
    <t>Effectiveness</t>
  </si>
  <si>
    <t>ΔV spent</t>
  </si>
  <si>
    <t>Δt</t>
  </si>
  <si>
    <t>Single Missile analysis</t>
  </si>
  <si>
    <t>Salvo analysis</t>
  </si>
  <si>
    <t>Salvo size</t>
  </si>
  <si>
    <t>shots required for mission kill</t>
  </si>
  <si>
    <t>Unscathed</t>
  </si>
  <si>
    <t>Degraded</t>
  </si>
  <si>
    <t>Neutralized</t>
  </si>
  <si>
    <t>Cruising</t>
  </si>
  <si>
    <t>Accelerating</t>
  </si>
  <si>
    <t>Idea and Original calculator in PHP form by Eric Rozier</t>
  </si>
  <si>
    <t>Missile Definition</t>
  </si>
  <si>
    <t>starting closing vel</t>
  </si>
  <si>
    <t>starting distance</t>
  </si>
  <si>
    <t>Interceptor Definition</t>
  </si>
  <si>
    <t>Targeting efficiency</t>
  </si>
  <si>
    <t>critical radius</t>
  </si>
  <si>
    <t>crit.mass</t>
  </si>
  <si>
    <t>N.pen</t>
  </si>
  <si>
    <t>Fuzing &amp; Effectiveness analysis</t>
  </si>
  <si>
    <t>Target</t>
  </si>
  <si>
    <t>closing vel</t>
  </si>
  <si>
    <t>Lethality</t>
  </si>
  <si>
    <t>avg.effective vel.</t>
  </si>
  <si>
    <t>@45deg</t>
  </si>
  <si>
    <t>fuzing time</t>
  </si>
  <si>
    <t>fuzing range</t>
  </si>
  <si>
    <t>Effective Radius</t>
  </si>
  <si>
    <t>crossing vel</t>
  </si>
  <si>
    <t>TTT</t>
  </si>
  <si>
    <t>dodge displacement</t>
  </si>
  <si>
    <t>Dodging efficiency</t>
  </si>
  <si>
    <t>Kill range</t>
  </si>
  <si>
    <t>Kill Zone radius</t>
  </si>
  <si>
    <t>Kill Rate</t>
  </si>
  <si>
    <t>Neutron Flux</t>
  </si>
  <si>
    <t>Component</t>
  </si>
  <si>
    <t>Operation</t>
  </si>
  <si>
    <t>m^−2s^−1</t>
  </si>
  <si>
    <t>Primary Decay Mode</t>
  </si>
  <si>
    <t>Alpha 4.083 MeV</t>
  </si>
  <si>
    <t>&lt;5 x 10-5</t>
  </si>
  <si>
    <t>2.654 x 10-6</t>
  </si>
  <si>
    <t>Pa-231</t>
  </si>
  <si>
    <t>Alpha 5.149 MeV</t>
  </si>
  <si>
    <t>&lt;5</t>
  </si>
  <si>
    <t>&gt;188</t>
  </si>
  <si>
    <t>U-232</t>
  </si>
  <si>
    <t>Alpha 5.414 MeV</t>
  </si>
  <si>
    <t>2 x 10 -3</t>
  </si>
  <si>
    <t>&gt;5</t>
  </si>
  <si>
    <t>Alpha 4.909 MeV</t>
  </si>
  <si>
    <t>U-234</t>
  </si>
  <si>
    <t>Alpha 4.859 MeV</t>
  </si>
  <si>
    <t>&gt;41</t>
  </si>
  <si>
    <t>Alpha 4.679 MeV</t>
  </si>
  <si>
    <t>5.6 x 10-3</t>
  </si>
  <si>
    <t>U-236</t>
  </si>
  <si>
    <t>Alpha 4.572 MeV</t>
  </si>
  <si>
    <t>&gt;167</t>
  </si>
  <si>
    <t>U-238</t>
  </si>
  <si>
    <t>Alpha 4.270 MeV</t>
  </si>
  <si>
    <t>Np-237</t>
  </si>
  <si>
    <t>Alpha 4.959 MeV</t>
  </si>
  <si>
    <t>&lt; 0.05</t>
  </si>
  <si>
    <t>75-105</t>
  </si>
  <si>
    <t>Alpha 5.593 MeV</t>
  </si>
  <si>
    <t>1.204 x 106</t>
  </si>
  <si>
    <t>Alpha 5.245 MeV</t>
  </si>
  <si>
    <t>Alpha 5.256 MeV</t>
  </si>
  <si>
    <t>Beta 0.021 MeV</t>
  </si>
  <si>
    <t>&lt;0.8</t>
  </si>
  <si>
    <t>Pu-242</t>
  </si>
  <si>
    <t>Alpha 4.984 MeV</t>
  </si>
  <si>
    <t>95, range 75-100</t>
  </si>
  <si>
    <t>Alpha 5.638 MeV</t>
  </si>
  <si>
    <t>Cf-251</t>
  </si>
  <si>
    <t>Alpha 6.176 MeV</t>
  </si>
  <si>
    <t>Half-Life (years)</t>
  </si>
  <si>
    <t>Spontaneous Fission Rate - SF (F/sec/kg)</t>
  </si>
  <si>
    <t>Fission Spectrum Neutron Multiplicity - nuFS (n/fission)</t>
  </si>
  <si>
    <t>Critical Mass - Mc (kg)</t>
  </si>
  <si>
    <t>Decay Heat - Q (W/kg)</t>
  </si>
  <si>
    <t>Specific Activity (curies/kg)</t>
  </si>
  <si>
    <t>Fission Cross Section - sigma (barns, fission spectrum avg)</t>
  </si>
  <si>
    <t>SF Neutron Multiplicity - nuSF (n/fission)</t>
  </si>
  <si>
    <t>Fissionable/Fissile Isotope Properties from Atomic Weapon Archive, for reactor calculation</t>
  </si>
  <si>
    <t>N1</t>
  </si>
  <si>
    <t>Fuel Pin</t>
  </si>
  <si>
    <t>Q</t>
  </si>
  <si>
    <t>Fission Energy MeV</t>
  </si>
  <si>
    <t>Isotopic ref</t>
  </si>
  <si>
    <t>ISO ref</t>
  </si>
  <si>
    <t>op.temp</t>
  </si>
  <si>
    <t>Wth</t>
  </si>
  <si>
    <t>Volume</t>
  </si>
  <si>
    <t>Radius</t>
  </si>
  <si>
    <t>Reactor Core</t>
  </si>
  <si>
    <t>Utilization</t>
  </si>
  <si>
    <t>Coolant/Innerloop</t>
  </si>
  <si>
    <t>Radiator/Outerloop</t>
  </si>
  <si>
    <t>yr</t>
  </si>
  <si>
    <t>Enrichment</t>
  </si>
  <si>
    <t>MWth</t>
  </si>
  <si>
    <t>day @50%E burnup</t>
  </si>
  <si>
    <t>Inner loop temp</t>
  </si>
  <si>
    <t>Refuel cycle</t>
  </si>
  <si>
    <t>η Endoversible</t>
  </si>
  <si>
    <t>η Carnot</t>
  </si>
  <si>
    <t>MWe</t>
  </si>
  <si>
    <t>Containment Unit</t>
  </si>
  <si>
    <t>s.f.</t>
  </si>
  <si>
    <t>Radiator</t>
  </si>
  <si>
    <t>redundancy</t>
  </si>
  <si>
    <t>design load</t>
  </si>
  <si>
    <t>MW</t>
  </si>
  <si>
    <t>area</t>
  </si>
  <si>
    <t>inlet temp</t>
  </si>
  <si>
    <t>J/kgK</t>
  </si>
  <si>
    <t>M=1</t>
  </si>
  <si>
    <t>flow vel</t>
  </si>
  <si>
    <t>feed pressure</t>
  </si>
  <si>
    <t>Chamber pressure</t>
  </si>
  <si>
    <t>m.b.p</t>
  </si>
  <si>
    <t>Yield Strength (Mpa)</t>
  </si>
  <si>
    <t>Viscosity (Pa/s)</t>
  </si>
  <si>
    <t>Ultimate Tensile Strength (Mpa)</t>
  </si>
  <si>
    <t>Atomic Lasing Density (m3)</t>
  </si>
  <si>
    <t>Band Gap (eV)</t>
  </si>
  <si>
    <t>Refe-rence</t>
  </si>
  <si>
    <t>Boiling Point (K)</t>
  </si>
  <si>
    <t>Density (kg/m3)</t>
  </si>
  <si>
    <t>Melted Density (kg/m3)</t>
  </si>
  <si>
    <t>Dielectric Strength (MV/m)</t>
  </si>
  <si>
    <t>Enthalpy Of Formation (kJ/mol)</t>
  </si>
  <si>
    <t>External Angular Sensitivity (m/radians)</t>
  </si>
  <si>
    <t>Gibbs Free Energy Of Formation (kJ/mol)</t>
  </si>
  <si>
    <t>IsABio-material</t>
  </si>
  <si>
    <t>Is Fibrous</t>
  </si>
  <si>
    <t>IsNano-structured</t>
  </si>
  <si>
    <t>Is Porous</t>
  </si>
  <si>
    <t>IsThree LevelPump Scheme</t>
  </si>
  <si>
    <t>Lasing Damage Threshold (TW/m2)</t>
  </si>
  <si>
    <t>Melting Point(K)</t>
  </si>
  <si>
    <t>OpticalNon-linearityCo-efficient(pm/V)</t>
  </si>
  <si>
    <t>Relative Permeability</t>
  </si>
  <si>
    <t>Relative Permittivity</t>
  </si>
  <si>
    <t>Remanence (T)</t>
  </si>
  <si>
    <t>Resistivity (Ohm/m)</t>
  </si>
  <si>
    <t>Roughness Coefficient</t>
  </si>
  <si>
    <t>Shear Modulus (Gpa)</t>
  </si>
  <si>
    <t>Specific Heat (J/kgK)</t>
  </si>
  <si>
    <t>Sponta-neous Lifetime (s)</t>
  </si>
  <si>
    <t>Thermal Conduct-ivity (W/mK)</t>
  </si>
  <si>
    <t>ThermalExpansion(K^-1)</t>
  </si>
  <si>
    <t>Thermo-electricSensitivity(V/K)</t>
  </si>
  <si>
    <t>Thermo-opticCoefficient(K)</t>
  </si>
  <si>
    <t>Total Magnetic Moment</t>
  </si>
  <si>
    <t>Transition Cross Section (m2)</t>
  </si>
  <si>
    <t>Transition Wavelength (nm)</t>
  </si>
  <si>
    <t>Youngs Modulus (Gpa)</t>
  </si>
  <si>
    <t>Critical Point(K)</t>
  </si>
  <si>
    <t>coolant density</t>
  </si>
  <si>
    <t>mass flow rate</t>
  </si>
  <si>
    <t>P.generated</t>
  </si>
  <si>
    <t>kg Total</t>
  </si>
  <si>
    <t>Fuel pin</t>
  </si>
  <si>
    <t>Order of Magnitude estimate for Fast Neutron Reactor</t>
  </si>
  <si>
    <t>v0.8</t>
  </si>
  <si>
    <t>Implemented calculation of 1st gen fission weapons</t>
  </si>
  <si>
    <t>Containment</t>
  </si>
  <si>
    <t>Conversion Turbine</t>
  </si>
  <si>
    <t>specific P</t>
  </si>
  <si>
    <t>Conversion Unit</t>
  </si>
  <si>
    <t>KWkg^-1</t>
  </si>
  <si>
    <t>Electrostatic Membrane</t>
  </si>
  <si>
    <t>Hula-Hoop</t>
  </si>
  <si>
    <t>Buckytube Filament</t>
  </si>
  <si>
    <t>Curie Point</t>
  </si>
  <si>
    <t>Tin Droplet</t>
  </si>
  <si>
    <t>Flux-Pinned Superthermal</t>
  </si>
  <si>
    <t>Mo/Li Heat Pipe</t>
  </si>
  <si>
    <t>Microtube Array</t>
  </si>
  <si>
    <t>ETHER</t>
  </si>
  <si>
    <t>Ti/K Heat Pipe</t>
  </si>
  <si>
    <t>SS/NaK Pumped</t>
  </si>
  <si>
    <t>Salt-Cooled Reflux tube</t>
  </si>
  <si>
    <t>Life Support</t>
  </si>
  <si>
    <t>Radar:</t>
  </si>
  <si>
    <t>efficiency</t>
  </si>
  <si>
    <t>Frequency</t>
  </si>
  <si>
    <t>GHz</t>
  </si>
  <si>
    <t>w.l</t>
  </si>
  <si>
    <t>dBm</t>
  </si>
  <si>
    <t>Performance</t>
  </si>
  <si>
    <t>Gain</t>
  </si>
  <si>
    <t>MaxDet</t>
  </si>
  <si>
    <t>avg RCS</t>
  </si>
  <si>
    <t>avg A</t>
  </si>
  <si>
    <t>PRF</t>
  </si>
  <si>
    <t>Hz</t>
  </si>
  <si>
    <t>Duty Cyc</t>
  </si>
  <si>
    <t>Range Resolution</t>
  </si>
  <si>
    <t>E input</t>
  </si>
  <si>
    <t>TMS</t>
  </si>
  <si>
    <t>MHz</t>
  </si>
  <si>
    <t>Noise.Fact</t>
  </si>
  <si>
    <t>SNR</t>
  </si>
  <si>
    <t>Thermal noise</t>
  </si>
  <si>
    <t>det.min.sig</t>
  </si>
  <si>
    <t>Filter Threshold</t>
  </si>
  <si>
    <t>dB</t>
  </si>
  <si>
    <t>Actual.noise</t>
  </si>
  <si>
    <t>(intrapulse modulated)</t>
  </si>
  <si>
    <t>(pulsed)</t>
  </si>
  <si>
    <t>PCR</t>
  </si>
  <si>
    <t>detection bandwidth</t>
  </si>
  <si>
    <t>intrapulse bandwidth</t>
  </si>
  <si>
    <t>(mod)</t>
  </si>
  <si>
    <t>x</t>
  </si>
  <si>
    <t>:1</t>
  </si>
  <si>
    <t>Internal Loss</t>
  </si>
  <si>
    <t>Unambiguous range</t>
  </si>
  <si>
    <t>Pulse</t>
  </si>
  <si>
    <t>Intrapulse</t>
  </si>
  <si>
    <t>(pulse)</t>
  </si>
  <si>
    <t>Range (km)</t>
  </si>
  <si>
    <t>Measuring Error (m)</t>
  </si>
  <si>
    <t>Targeting Effectiveness</t>
  </si>
  <si>
    <t>Modeling of Radar system: Simple/Linearly modulated Pulsed Radar</t>
  </si>
  <si>
    <t>Sources: www.radartutorial.eu &amp; wikipedia</t>
  </si>
  <si>
    <t>required Hit Per Scan</t>
  </si>
  <si>
    <t>Globe s/t</t>
  </si>
  <si>
    <t>average Radiated Power</t>
  </si>
  <si>
    <t>Radiation Protection</t>
  </si>
  <si>
    <t>Thickness</t>
  </si>
  <si>
    <t>Rad hazard</t>
  </si>
  <si>
    <t>Shd.Dose</t>
  </si>
  <si>
    <t>Wneut</t>
  </si>
  <si>
    <t>Wgamma</t>
  </si>
  <si>
    <t>Wneut m^-2</t>
  </si>
  <si>
    <t>Rad Shield</t>
  </si>
  <si>
    <t>S.A.</t>
  </si>
  <si>
    <t>Wgamma m^-2</t>
  </si>
  <si>
    <t>assuming 68kg/0.445m^2 human sized target</t>
  </si>
  <si>
    <t>Sv s^-1</t>
  </si>
  <si>
    <t>inner</t>
  </si>
  <si>
    <t>outer</t>
  </si>
  <si>
    <t>)Sv</t>
  </si>
  <si>
    <t>hour</t>
  </si>
  <si>
    <t>antenna effeciveness</t>
  </si>
  <si>
    <t>Minimal range</t>
  </si>
  <si>
    <t>P transmitted</t>
  </si>
  <si>
    <t>%of Range Unit</t>
  </si>
  <si>
    <t>Index</t>
  </si>
  <si>
    <t>Range Unit</t>
  </si>
  <si>
    <t>Aperture effective size</t>
  </si>
  <si>
    <t>Technology</t>
  </si>
  <si>
    <t>Maximum Frequency</t>
  </si>
  <si>
    <t>Typical Gain</t>
  </si>
  <si>
    <t>Typical Bandwidth</t>
  </si>
  <si>
    <t>POT</t>
  </si>
  <si>
    <t>Magnetron</t>
  </si>
  <si>
    <t>95 GHz</t>
  </si>
  <si>
    <t>1 MW / 500 W )¹</t>
  </si>
  <si>
    <t>-</t>
  </si>
  <si>
    <t>Fixed…10%</t>
  </si>
  <si>
    <t>Impatt diode</t>
  </si>
  <si>
    <t>140 GHz</t>
  </si>
  <si>
    <t>30 W / 10 W )¹</t>
  </si>
  <si>
    <t>Fixed…5%</t>
  </si>
  <si>
    <t>Extended interaction oscillator (EIO)</t>
  </si>
  <si>
    <t>220 GHz</t>
  </si>
  <si>
    <t>1 kW / 10 W )²</t>
  </si>
  <si>
    <t>0.2% (elec.)</t>
  </si>
  <si>
    <t>4% (mech.)</t>
  </si>
  <si>
    <t>PAT</t>
  </si>
  <si>
    <t>Helix traveling wave tube (TWT)</t>
  </si>
  <si>
    <t>4 kW / 200 W )¹</t>
  </si>
  <si>
    <t>40…60dB</t>
  </si>
  <si>
    <t>Octave/ multioctave</t>
  </si>
  <si>
    <t>Ring-loop TWT</t>
  </si>
  <si>
    <t>18 GHz</t>
  </si>
  <si>
    <t>8 kW / 400 W )¹</t>
  </si>
  <si>
    <t>5…15%</t>
  </si>
  <si>
    <t>Coupled-cavity TWT</t>
  </si>
  <si>
    <t>100 kW / 25 kW )¹</t>
  </si>
  <si>
    <t>Extended interaction Klystron (EIK)</t>
  </si>
  <si>
    <t>280 GHz</t>
  </si>
  <si>
    <t>40…50dB</t>
  </si>
  <si>
    <t>0.5…1%</t>
  </si>
  <si>
    <t>Klystron</t>
  </si>
  <si>
    <t>35 GHz</t>
  </si>
  <si>
    <t>50 kW / 5 kW )¹</t>
  </si>
  <si>
    <t>30…60dB</t>
  </si>
  <si>
    <t>0.1…2% (inst.)</t>
  </si>
  <si>
    <t>1…10% (mech.)</t>
  </si>
  <si>
    <t>Crossed-Field amplifier (CFA)</t>
  </si>
  <si>
    <t>500 kW / 1 kW )¹</t>
  </si>
  <si>
    <t>10…20dB</t>
  </si>
  <si>
    <t>solid-state Silicon BJT</t>
  </si>
  <si>
    <t>5 GHz</t>
  </si>
  <si>
    <t>300 W / 30 W )³</t>
  </si>
  <si>
    <t>5…10dB</t>
  </si>
  <si>
    <t>10…25%</t>
  </si>
  <si>
    <t>GaAs FET</t>
  </si>
  <si>
    <t>30 GHz</t>
  </si>
  <si>
    <t>15 W / 5 W )¹</t>
  </si>
  <si>
    <t>5…10 dB</t>
  </si>
  <si>
    <t>5…20%</t>
  </si>
  <si>
    <t>)¹ demonstrated at X-Band</t>
  </si>
  <si>
    <t>)² demonstrated at 95 GHz</t>
  </si>
  <si>
    <t>)³ demonstrated at 1 GHz</t>
  </si>
  <si>
    <t>Table 1: Pulse Radar Transmitter Technology</t>
  </si>
  <si>
    <t>Source: Tracy V. Wallace, Georgia Tech Research Institute, Atlanta, Georgia.</t>
  </si>
  <si>
    <t>Peak/ Average Power</t>
  </si>
  <si>
    <t>KW</t>
  </si>
  <si>
    <t>Craft</t>
  </si>
  <si>
    <t>Crewed Spacecraft Habitat Module design</t>
  </si>
  <si>
    <t>CIC</t>
  </si>
  <si>
    <t>Crew Size</t>
  </si>
  <si>
    <t>Endurance</t>
  </si>
  <si>
    <t>day</t>
  </si>
  <si>
    <t>person</t>
  </si>
  <si>
    <t>CM-D</t>
  </si>
  <si>
    <t>SUM</t>
  </si>
  <si>
    <t>CO2 removal</t>
  </si>
  <si>
    <t>CO2 reduction</t>
  </si>
  <si>
    <t>O2 Provision</t>
  </si>
  <si>
    <t>O2 storage</t>
  </si>
  <si>
    <t>LS system (ISS Equivalent system)</t>
  </si>
  <si>
    <t>Urine processing</t>
  </si>
  <si>
    <t>H2O provision</t>
  </si>
  <si>
    <t>H2O storage</t>
  </si>
  <si>
    <t>Tech</t>
  </si>
  <si>
    <t>Sys Mass</t>
  </si>
  <si>
    <t>Logistics</t>
  </si>
  <si>
    <t>4BMS</t>
  </si>
  <si>
    <t>Sabatier</t>
  </si>
  <si>
    <t>SPWE</t>
  </si>
  <si>
    <t>tank</t>
  </si>
  <si>
    <t>VCD</t>
  </si>
  <si>
    <t>Multi-filtration</t>
  </si>
  <si>
    <t>Emergency Provision</t>
  </si>
  <si>
    <t>ECM-D</t>
  </si>
  <si>
    <t>O2 Tank</t>
  </si>
  <si>
    <t>Water tank</t>
  </si>
  <si>
    <t>LIOH pack</t>
  </si>
  <si>
    <t>CM-d</t>
  </si>
  <si>
    <t>Cooling</t>
  </si>
  <si>
    <t>Booth Volume</t>
  </si>
  <si>
    <t>Baseline GCR</t>
  </si>
  <si>
    <t>mSv day^-1</t>
  </si>
  <si>
    <t>mSv</t>
  </si>
  <si>
    <t>Mission limit (</t>
  </si>
  <si>
    <t>Gamma</t>
  </si>
  <si>
    <t>effective shd</t>
  </si>
  <si>
    <t>armor shd</t>
  </si>
  <si>
    <t>M.armor</t>
  </si>
  <si>
    <t>Capacitor style</t>
  </si>
  <si>
    <t>Ceramic capacitors,</t>
  </si>
  <si>
    <t>Class 1</t>
  </si>
  <si>
    <t>paraelectric</t>
  </si>
  <si>
    <t>12–40</t>
  </si>
  <si>
    <t>&lt; 100(?)</t>
  </si>
  <si>
    <t>Class 2</t>
  </si>
  <si>
    <t>ferroelectric</t>
  </si>
  <si>
    <t>200–14,000</t>
  </si>
  <si>
    <t>&lt; 35</t>
  </si>
  <si>
    <t>Film capacitors</t>
  </si>
  <si>
    <t>Polypropylene ( PP)</t>
  </si>
  <si>
    <t>650/450</t>
  </si>
  <si>
    <t>1.9 – 3.0</t>
  </si>
  <si>
    <t>580/280</t>
  </si>
  <si>
    <t>0.7–0.9</t>
  </si>
  <si>
    <t>Polyphenylene sulfide (PPS)</t>
  </si>
  <si>
    <t>470/220</t>
  </si>
  <si>
    <t>Polyethylene naphthalate (PEN)</t>
  </si>
  <si>
    <t>500/300</t>
  </si>
  <si>
    <t>0.9–1.4</t>
  </si>
  <si>
    <t>Polytetrafluoroethylene (PTFE)</t>
  </si>
  <si>
    <t>450(?)/250</t>
  </si>
  <si>
    <t>Paper capacitors</t>
  </si>
  <si>
    <t>Paper</t>
  </si>
  <si>
    <t>3.5–5.5</t>
  </si>
  <si>
    <t>5–10</t>
  </si>
  <si>
    <t>Aluminum electrolytic capacitors</t>
  </si>
  <si>
    <t>&lt; 0.01 (6.3 V)</t>
  </si>
  <si>
    <t>&lt; 0.8 (450 V)</t>
  </si>
  <si>
    <t>Tantalum electrolytic capacitors</t>
  </si>
  <si>
    <t>&lt; 0.08 (40 V)</t>
  </si>
  <si>
    <t>Niobium electrolytic capacitors</t>
  </si>
  <si>
    <t>&lt; 0.10 (40 V)</t>
  </si>
  <si>
    <t>Supercapacitors</t>
  </si>
  <si>
    <t>Double-layer capacitors</t>
  </si>
  <si>
    <t>Helmholtz double-layer</t>
  </si>
  <si>
    <t>&lt; 0.001 (2.7 V)</t>
  </si>
  <si>
    <t>Vacuum capacitors</t>
  </si>
  <si>
    <t>Vacuum</t>
  </si>
  <si>
    <t>Air gap capacitors</t>
  </si>
  <si>
    <t>Air</t>
  </si>
  <si>
    <t>Glass capacitors</t>
  </si>
  <si>
    <t>Glass</t>
  </si>
  <si>
    <t>Mica capacitors</t>
  </si>
  <si>
    <t>5–8</t>
  </si>
  <si>
    <t>4–50</t>
  </si>
  <si>
    <t>Polyethylene terephthalate,Polyester (PET)</t>
  </si>
  <si>
    <t>Aluminium oxide Al2O3</t>
  </si>
  <si>
    <t>Tantalum pentoxide Ta2O5</t>
  </si>
  <si>
    <t>Niobium pentoxide, Nb2O5</t>
  </si>
  <si>
    <t>Relative Permittivity at 1 kHz</t>
  </si>
  <si>
    <t>Maximum/realized. dielectric strength V/µm</t>
  </si>
  <si>
    <t>Minimum thickness of the dielectric µm</t>
  </si>
  <si>
    <t>9,6</t>
  </si>
  <si>
    <t>ρ CIC</t>
  </si>
  <si>
    <t>ρ Hab</t>
  </si>
  <si>
    <t>Pressure</t>
  </si>
  <si>
    <t>M.str</t>
  </si>
  <si>
    <t>Structure</t>
  </si>
  <si>
    <t>S.F.</t>
  </si>
  <si>
    <t>Habitation</t>
  </si>
  <si>
    <t>req.hab spc</t>
  </si>
  <si>
    <t>m^3CM^-1</t>
  </si>
  <si>
    <t>CIC.MS.dose</t>
  </si>
  <si>
    <t>Pressurized Sections:</t>
  </si>
  <si>
    <t>Pressurized</t>
  </si>
  <si>
    <t>CIC/Sphere</t>
  </si>
  <si>
    <t>Cylinder.H</t>
  </si>
  <si>
    <t>Hab/Capsule with CIC at center</t>
  </si>
  <si>
    <t>Background</t>
  </si>
  <si>
    <t>CIC furnishing</t>
  </si>
  <si>
    <t>Hab furnishing</t>
  </si>
  <si>
    <t>CIC.hab.dose</t>
  </si>
  <si>
    <t>bore</t>
  </si>
  <si>
    <t>rail axis sep</t>
  </si>
  <si>
    <t>kW</t>
  </si>
  <si>
    <t>·</t>
  </si>
  <si>
    <t>Turret Traverse Table</t>
  </si>
  <si>
    <t>Traverse Motor</t>
  </si>
  <si>
    <t>Angle/deg</t>
  </si>
  <si>
    <t>mono/s</t>
  </si>
  <si>
    <t>af/s</t>
  </si>
  <si>
    <t>Σ I</t>
  </si>
  <si>
    <t>PSU choices:</t>
  </si>
  <si>
    <t>Sys.Integration</t>
  </si>
  <si>
    <t>Grid Supply</t>
  </si>
  <si>
    <t>turret</t>
  </si>
  <si>
    <t>Mwe</t>
  </si>
  <si>
    <t>Charge Time</t>
  </si>
  <si>
    <t>Fire Rate</t>
  </si>
  <si>
    <t>RPM</t>
  </si>
  <si>
    <t>v0.9</t>
  </si>
  <si>
    <t>Revamp of Railgun and added Propulsion table for future full-craft integration. Simple model of reactor implemented, Flak model introduced and added calculation of hit ratio.Thermal dissipation consideration added for most modules.</t>
  </si>
  <si>
    <t>Radar detection &amp; fire control implemented, Crew module design tab added, fixed multiple bugs in Railgun calculation, added turret traverse rate calculation.</t>
  </si>
  <si>
    <t>pen in ly.3</t>
  </si>
  <si>
    <t>pen in ly.4</t>
  </si>
  <si>
    <t>proj mass</t>
  </si>
  <si>
    <t>sabot m</t>
  </si>
  <si>
    <t>propellant</t>
  </si>
  <si>
    <t>Σ mass</t>
  </si>
  <si>
    <t>Misc.Power</t>
  </si>
  <si>
    <t>kW @</t>
  </si>
  <si>
    <t>Σmass</t>
  </si>
  <si>
    <t>armor</t>
  </si>
  <si>
    <t>LS</t>
  </si>
  <si>
    <t>structure</t>
  </si>
  <si>
    <t>furnishing</t>
  </si>
  <si>
    <t>P.sys-1</t>
  </si>
  <si>
    <t>P.sys-2</t>
  </si>
  <si>
    <t>MISSILE/DRONE</t>
  </si>
  <si>
    <t>WEAPON SYSTEM</t>
  </si>
  <si>
    <t>TANKAGE</t>
  </si>
  <si>
    <t>PROPULSION</t>
  </si>
  <si>
    <t>REACTOR</t>
  </si>
  <si>
    <t>Thrust</t>
  </si>
  <si>
    <t>ton force</t>
  </si>
  <si>
    <t>Grid</t>
  </si>
  <si>
    <t>output</t>
  </si>
  <si>
    <t>Signature</t>
  </si>
  <si>
    <t>Σpower</t>
  </si>
  <si>
    <t>Σcooling</t>
  </si>
  <si>
    <t>SENSOR</t>
  </si>
  <si>
    <t>kWe</t>
  </si>
  <si>
    <t>Isp</t>
  </si>
  <si>
    <t>@</t>
  </si>
  <si>
    <t>black body temp</t>
  </si>
  <si>
    <t>Peak λ</t>
  </si>
  <si>
    <t>Detector</t>
  </si>
  <si>
    <t>Aperture Size</t>
  </si>
  <si>
    <t>Wsr^-1m^-3</t>
  </si>
  <si>
    <t>bandwidth</t>
  </si>
  <si>
    <t>Bλ (peak)</t>
  </si>
  <si>
    <t>Bλ (low)</t>
  </si>
  <si>
    <t>FOV</t>
  </si>
  <si>
    <t>Thermal n.</t>
  </si>
  <si>
    <t>Internal loss</t>
  </si>
  <si>
    <t>min.det.sig</t>
  </si>
  <si>
    <t>det threshold</t>
  </si>
  <si>
    <t>Power Unit</t>
  </si>
  <si>
    <t>Band radiance</t>
  </si>
  <si>
    <t>Wsr^-1m^-2</t>
  </si>
  <si>
    <t>Power (kW)</t>
  </si>
  <si>
    <t>Area (m^2)</t>
  </si>
  <si>
    <t>B.N.intensity</t>
  </si>
  <si>
    <t>3K GCR</t>
  </si>
  <si>
    <t>grid</t>
  </si>
  <si>
    <t xml:space="preserve"> X</t>
  </si>
  <si>
    <t>Weapon Systems:</t>
  </si>
  <si>
    <t xml:space="preserve">GsH-12 </t>
  </si>
  <si>
    <t>ton</t>
  </si>
  <si>
    <t>ΣGrid</t>
  </si>
  <si>
    <t>Crew Module</t>
  </si>
  <si>
    <t>Drone Compliment:</t>
  </si>
  <si>
    <t>X</t>
  </si>
  <si>
    <t>shots</t>
  </si>
  <si>
    <t>kg/round</t>
  </si>
  <si>
    <t>kgf</t>
  </si>
  <si>
    <t>Pay-Load</t>
  </si>
  <si>
    <t>TANK</t>
  </si>
  <si>
    <t>Str:</t>
  </si>
  <si>
    <t>L Payload</t>
  </si>
  <si>
    <t>L Tank</t>
  </si>
  <si>
    <t>R (m)</t>
  </si>
  <si>
    <t>Σstr.mass</t>
  </si>
  <si>
    <t>dry mass</t>
  </si>
  <si>
    <t>wet mass</t>
  </si>
  <si>
    <t>dv</t>
  </si>
  <si>
    <t>burn-time</t>
  </si>
  <si>
    <t>Dimensions</t>
  </si>
  <si>
    <t>Reactor</t>
  </si>
  <si>
    <t>W.S</t>
  </si>
  <si>
    <t>L Reactor</t>
  </si>
  <si>
    <t>EMCOM / ELINT device</t>
  </si>
  <si>
    <t>Weapon</t>
  </si>
  <si>
    <t>Σ</t>
  </si>
  <si>
    <t>GSh-23 L</t>
  </si>
  <si>
    <t>Unmanned Drone Warship Integration</t>
  </si>
  <si>
    <t>Manned Warship Integration</t>
  </si>
  <si>
    <t>Missile Integration</t>
  </si>
  <si>
    <t>volume</t>
  </si>
  <si>
    <t>Σvolume</t>
  </si>
  <si>
    <t>APCP Space Shuttle SRB</t>
  </si>
  <si>
    <t>eff.V</t>
  </si>
  <si>
    <t>Estim.R</t>
  </si>
  <si>
    <t>T.nozz</t>
  </si>
  <si>
    <t>Estim R</t>
  </si>
  <si>
    <t>E.nozz</t>
  </si>
  <si>
    <t>STR</t>
  </si>
  <si>
    <t>ΣV</t>
  </si>
  <si>
    <t>Σ+ρ</t>
  </si>
  <si>
    <t>Effective Shielding</t>
  </si>
  <si>
    <t>baseline shd</t>
  </si>
  <si>
    <t>avgR</t>
  </si>
  <si>
    <t>Str Mass</t>
  </si>
  <si>
    <t>Length</t>
  </si>
  <si>
    <t>Dia</t>
  </si>
  <si>
    <t>Payload Armor</t>
  </si>
  <si>
    <t>Crossfeed:</t>
  </si>
  <si>
    <t>ammo</t>
  </si>
  <si>
    <t>Unloaded</t>
  </si>
  <si>
    <t>Tank-1</t>
  </si>
  <si>
    <t>Tank-2</t>
  </si>
  <si>
    <t>payload</t>
  </si>
  <si>
    <t>Engine Burnstate</t>
  </si>
  <si>
    <t>Burntime(s)</t>
  </si>
  <si>
    <t>mdot</t>
  </si>
  <si>
    <t>ts^-1</t>
  </si>
  <si>
    <t>accleration</t>
  </si>
  <si>
    <t>μg</t>
  </si>
  <si>
    <t>isp</t>
  </si>
  <si>
    <t>dV</t>
  </si>
  <si>
    <t>out of</t>
  </si>
  <si>
    <t>Ship Performance</t>
  </si>
  <si>
    <t>m_pos</t>
  </si>
  <si>
    <t>m_pre</t>
  </si>
  <si>
    <t>deg Gimbal</t>
  </si>
  <si>
    <t>Turn around</t>
  </si>
  <si>
    <t>sec per 180 deg</t>
  </si>
  <si>
    <t>v1.0</t>
  </si>
  <si>
    <t>Full ship integration and numerous bugfixes. First Release version. Ad Astra Per Ardua</t>
  </si>
  <si>
    <t>Misc</t>
  </si>
  <si>
    <t>ratio</t>
  </si>
  <si>
    <t>limit</t>
  </si>
  <si>
    <t>arcsec</t>
  </si>
  <si>
    <t xml:space="preserve">Result </t>
  </si>
  <si>
    <t>Hit Rate front</t>
  </si>
  <si>
    <t>Hit Rate average</t>
  </si>
  <si>
    <t>Shots Fired</t>
  </si>
  <si>
    <t>Pre-fire range</t>
  </si>
  <si>
    <t xml:space="preserve">up to </t>
  </si>
  <si>
    <t>critical shot density</t>
  </si>
  <si>
    <t>m^-2</t>
  </si>
  <si>
    <t>generator sp.p.</t>
  </si>
  <si>
    <t>kwkg^-1</t>
  </si>
  <si>
    <t>gen.m</t>
  </si>
  <si>
    <t>v1.interim</t>
  </si>
  <si>
    <t>Note!</t>
  </si>
  <si>
    <t>User Instructions:</t>
  </si>
  <si>
    <t>Only Blue-hued cells are meant to be user-modifiable</t>
  </si>
  <si>
    <t xml:space="preserve">INPUT </t>
  </si>
  <si>
    <t>These are data input cells</t>
  </si>
  <si>
    <t>radiator</t>
  </si>
  <si>
    <t xml:space="preserve">Note that this model underestimates peak pressure by up to 30%. </t>
  </si>
  <si>
    <t>suggested γ:</t>
  </si>
  <si>
    <t>Column1</t>
  </si>
  <si>
    <t>Column2</t>
  </si>
  <si>
    <t>Kinetic engagement against distant target
(Ships dueling scenario)</t>
  </si>
  <si>
    <t>Kinetic engagement against homing target
(Point Defense gun scenario)</t>
  </si>
  <si>
    <t>Missile Engagement
(CIWS missile scenario)</t>
  </si>
  <si>
    <t>Modeling of Heat seeking Infrared/Lidar System, per Matterbeam's analysis</t>
  </si>
  <si>
    <r>
      <t xml:space="preserve">ALL equations dependent upon this table expects it to be sorted according to </t>
    </r>
    <r>
      <rPr>
        <b/>
        <u/>
        <sz val="11"/>
        <color theme="1"/>
        <rFont val="Calibri"/>
        <family val="2"/>
        <scheme val="minor"/>
      </rPr>
      <t>reference number</t>
    </r>
    <r>
      <rPr>
        <sz val="11"/>
        <color theme="1"/>
        <rFont val="Calibri"/>
        <family val="2"/>
        <scheme val="minor"/>
      </rPr>
      <t xml:space="preserve"> and in </t>
    </r>
    <r>
      <rPr>
        <b/>
        <u/>
        <sz val="11"/>
        <color theme="1"/>
        <rFont val="Calibri"/>
        <family val="2"/>
        <scheme val="minor"/>
      </rPr>
      <t xml:space="preserve">ascending order. </t>
    </r>
    <r>
      <rPr>
        <sz val="11"/>
        <color theme="1"/>
        <rFont val="Calibri"/>
        <family val="2"/>
        <scheme val="minor"/>
      </rPr>
      <t xml:space="preserve"> This is a quirk of microsoft Excel's LOOKUP() function</t>
    </r>
  </si>
  <si>
    <t>1.go to python.org and download the latest python release for your system</t>
  </si>
  <si>
    <t>How to install Python and xlwings:</t>
  </si>
  <si>
    <t>How to enable Solver:</t>
  </si>
  <si>
    <t>1.in Excel: File-&gt; Options -&gt; Add-ins</t>
  </si>
  <si>
    <t>2.fire up command prompt in admin mode and type "py -m pip install xlwings"</t>
  </si>
  <si>
    <t>3.click on the box next to "Solver" and hit "OK"</t>
  </si>
  <si>
    <t>2.select  "Manage excel add-ins" and then "Go"</t>
  </si>
  <si>
    <t>3.then type "xlwings addin install" to install the Excel addin</t>
  </si>
  <si>
    <t>Note that you may need to enable Macro and VBA code in your Trust-Center</t>
  </si>
  <si>
    <t>Nuke</t>
  </si>
  <si>
    <t xml:space="preserve">yield </t>
  </si>
  <si>
    <t>Average</t>
  </si>
  <si>
    <t>m/s</t>
  </si>
  <si>
    <t>Maxwellian average velocity</t>
  </si>
  <si>
    <t>StandOff</t>
  </si>
  <si>
    <t>Isotropic, no mass loss:</t>
  </si>
  <si>
    <t>Pusher Plate</t>
  </si>
  <si>
    <t>Cone angle</t>
  </si>
  <si>
    <t>Intercepted Mass</t>
  </si>
  <si>
    <t>Plate Max Pressure</t>
  </si>
  <si>
    <t>Allowed Max Pressure</t>
  </si>
  <si>
    <t>Margin</t>
  </si>
  <si>
    <t>(optimal:</t>
  </si>
  <si>
    <t>m)</t>
  </si>
  <si>
    <t>Impulse:</t>
  </si>
  <si>
    <t>kgm/s</t>
  </si>
  <si>
    <t>MJ/kg</t>
  </si>
  <si>
    <t>ablative mass loss</t>
  </si>
  <si>
    <t>Ma</t>
  </si>
  <si>
    <t>mm/pulse</t>
  </si>
  <si>
    <t>effective Isp with ablation:</t>
  </si>
  <si>
    <t>kg/m^3</t>
  </si>
  <si>
    <t>kg/m^2</t>
  </si>
  <si>
    <t>Avg.Thrust</t>
  </si>
  <si>
    <t>ton Force</t>
  </si>
  <si>
    <t>Nuclear Pulse Propulsion (Orion) Performance Calculator</t>
  </si>
  <si>
    <t>Ref:</t>
  </si>
  <si>
    <t>Opacity Modifier</t>
  </si>
  <si>
    <t>Carbon Fiber</t>
  </si>
  <si>
    <t>Fibers</t>
  </si>
  <si>
    <t>Epoxy Carbon Fiber Composite</t>
  </si>
  <si>
    <t>High Grade Epoxy Carbon Fiber Composite</t>
  </si>
  <si>
    <t>Collimation Factor:</t>
  </si>
  <si>
    <t>Structural Backplate:</t>
  </si>
  <si>
    <t>Ablative Layer:</t>
  </si>
  <si>
    <t>deg half-cone )</t>
  </si>
  <si>
    <t>x     (equiv</t>
  </si>
  <si>
    <t>Est. Engine Weight</t>
  </si>
  <si>
    <t>req.F</t>
  </si>
  <si>
    <t>optimal Y</t>
  </si>
  <si>
    <t>optimal Isp</t>
  </si>
  <si>
    <t>Reference Design Equations: (Ref.2)</t>
  </si>
  <si>
    <t>2.General Dynamics GA-5009 Nuclear Pulse Vehicle Study,Vol.III, Sep 19, 1964, Declassified</t>
  </si>
  <si>
    <t>1.Effective Specific Impulse of External Nuclear Pulse Propulsion Systems, T.W.Reynolds, Lewis Research Center. Sep 1972</t>
  </si>
  <si>
    <r>
      <t xml:space="preserve">3.Uranium Opacity data from </t>
    </r>
    <r>
      <rPr>
        <i/>
        <sz val="11"/>
        <color theme="1"/>
        <rFont val="Calibri"/>
        <family val="2"/>
        <scheme val="minor"/>
      </rPr>
      <t>Research on Uranium Plasmas and Their Technological Application</t>
    </r>
    <r>
      <rPr>
        <sz val="11"/>
        <color theme="1"/>
        <rFont val="Calibri"/>
        <family val="2"/>
        <scheme val="minor"/>
      </rPr>
      <t>, available from Google Books</t>
    </r>
  </si>
  <si>
    <t>TWR=3.6</t>
  </si>
  <si>
    <t>Particle Beam Weapon Modeling &amp; Effects</t>
  </si>
  <si>
    <t>Schematics:</t>
  </si>
  <si>
    <t>Ion Source</t>
  </si>
  <si>
    <t>Accelerator</t>
  </si>
  <si>
    <t>----------------------------------------------------------------------------------------------------------------------------------------</t>
  </si>
  <si>
    <t>Aperture R</t>
  </si>
  <si>
    <t>mm-mrad</t>
  </si>
  <si>
    <t>Ideal Electron Cyclotron Resonance ion source</t>
  </si>
  <si>
    <t>mat.ref</t>
  </si>
  <si>
    <t>Charge</t>
  </si>
  <si>
    <t>Ion Species</t>
  </si>
  <si>
    <t>MCR</t>
  </si>
  <si>
    <t>Bound in Gas</t>
  </si>
  <si>
    <t>3He +</t>
  </si>
  <si>
    <t>H +</t>
  </si>
  <si>
    <t>4He +</t>
  </si>
  <si>
    <t>Mag field</t>
  </si>
  <si>
    <t>Ionization Potential/eV</t>
  </si>
  <si>
    <t>Molar mass g/mol</t>
  </si>
  <si>
    <t>Ke</t>
  </si>
  <si>
    <t>Radiofrequency Cavity</t>
  </si>
  <si>
    <t>MV/m</t>
  </si>
  <si>
    <t>Optics</t>
  </si>
  <si>
    <t>v(β)</t>
  </si>
  <si>
    <t>Neutralization Div</t>
  </si>
  <si>
    <t>radian</t>
  </si>
  <si>
    <t>Ion Optics</t>
  </si>
  <si>
    <t>lens radius</t>
  </si>
  <si>
    <t>Final:</t>
  </si>
  <si>
    <t>div</t>
  </si>
  <si>
    <t>emittance growth</t>
  </si>
  <si>
    <t>Neutralize</t>
  </si>
  <si>
    <t>3He 2+</t>
  </si>
  <si>
    <t>4He 2+</t>
  </si>
  <si>
    <t>req Length</t>
  </si>
  <si>
    <t>RF Generator</t>
  </si>
  <si>
    <t>Source Emittance</t>
  </si>
  <si>
    <t>Accelerator:</t>
  </si>
  <si>
    <t>RFC construction</t>
  </si>
  <si>
    <t>Cavity</t>
  </si>
  <si>
    <t>kw/kg</t>
  </si>
  <si>
    <t>kg/m</t>
  </si>
  <si>
    <t>Particle Energy</t>
  </si>
  <si>
    <t>Proton No.</t>
  </si>
  <si>
    <t>Mag</t>
  </si>
  <si>
    <t>RFC</t>
  </si>
  <si>
    <t>MASS BREAKDOWN</t>
  </si>
  <si>
    <t>AT RANGE ESTIMATES</t>
  </si>
  <si>
    <t>TGT</t>
  </si>
  <si>
    <t>SHIELD</t>
  </si>
  <si>
    <t>amp</t>
  </si>
  <si>
    <t>A/kg</t>
  </si>
  <si>
    <t>ECRIS</t>
  </si>
  <si>
    <t>exp.Pen</t>
  </si>
  <si>
    <t>E.absorbed</t>
  </si>
  <si>
    <t>E.thru</t>
  </si>
  <si>
    <t>OverP.</t>
  </si>
  <si>
    <t>kpa</t>
  </si>
  <si>
    <t>for internal detonation.</t>
  </si>
  <si>
    <t>Overpressure</t>
  </si>
  <si>
    <t>Reinforced concrete buildings severely damaged</t>
  </si>
  <si>
    <t>Severe heart and lung damage</t>
  </si>
  <si>
    <t>Limbs can be blown off</t>
  </si>
  <si>
    <t>Most buildings collapse except concrete buildings</t>
  </si>
  <si>
    <t>Injuries universal</t>
  </si>
  <si>
    <t>Fatalities occur</t>
  </si>
  <si>
    <t>Residential structures collapse</t>
  </si>
  <si>
    <t>Brick walls destroyed</t>
  </si>
  <si>
    <t>Injuries common</t>
  </si>
  <si>
    <t>Fatalities may occur</t>
  </si>
  <si>
    <t>10 psi</t>
  </si>
  <si>
    <t>69kPa</t>
  </si>
  <si>
    <t>28kPa</t>
  </si>
  <si>
    <t>4 psi</t>
  </si>
  <si>
    <t>2 psi</t>
  </si>
  <si>
    <t>14kPa</t>
  </si>
  <si>
    <t>Effects</t>
  </si>
  <si>
    <t>Blast Overpressure Effects</t>
  </si>
  <si>
    <t>Liner</t>
  </si>
  <si>
    <t>Explosive</t>
  </si>
  <si>
    <t>mm thick</t>
  </si>
  <si>
    <t>mm Radius</t>
  </si>
  <si>
    <t>/</t>
  </si>
  <si>
    <t>\</t>
  </si>
  <si>
    <t xml:space="preserve">  /</t>
  </si>
  <si>
    <t xml:space="preserve">  \_______</t>
  </si>
  <si>
    <t xml:space="preserve">    _______</t>
  </si>
  <si>
    <t>_________</t>
  </si>
  <si>
    <t>|</t>
  </si>
  <si>
    <t>Jet velocity</t>
  </si>
  <si>
    <t>Slug velocity</t>
  </si>
  <si>
    <t>Jet Mass</t>
  </si>
  <si>
    <t>Slug Mass</t>
  </si>
  <si>
    <t>T collapse</t>
  </si>
  <si>
    <t>Jet Length</t>
  </si>
  <si>
    <t>Jet Radius</t>
  </si>
  <si>
    <t>Vlim</t>
  </si>
  <si>
    <t>Velocity of detionation</t>
  </si>
  <si>
    <r>
      <t>w/cone(2</t>
    </r>
    <r>
      <rPr>
        <sz val="11"/>
        <color theme="1"/>
        <rFont val="Calibri"/>
        <family val="2"/>
      </rPr>
      <t>α)</t>
    </r>
  </si>
  <si>
    <t>collapse ratio</t>
  </si>
  <si>
    <t>collapse ang (2β)</t>
  </si>
  <si>
    <t>Total.Pen</t>
  </si>
  <si>
    <t>Point Blank Pene-tration</t>
  </si>
  <si>
    <t>undistu-rbed Pen</t>
  </si>
  <si>
    <t>Range Table</t>
  </si>
  <si>
    <t>mm Dia</t>
  </si>
  <si>
    <t>Standoff /C</t>
  </si>
  <si>
    <t>Pene 
/mm</t>
  </si>
  <si>
    <t>Cone Length</t>
  </si>
  <si>
    <t>Tip to Target /m</t>
  </si>
  <si>
    <t>β</t>
  </si>
  <si>
    <t>Analytical Estimation of Cylindrical Shaped Charge (HEAT) Warhead Effectiveness.</t>
  </si>
  <si>
    <t>basic assumptions:</t>
  </si>
  <si>
    <t>1.uniform initiation and planar shockwave</t>
  </si>
  <si>
    <t>2.cone tip will be one jet length away from apex.(so as to allow for proper jet formation)</t>
  </si>
  <si>
    <t>Interim version to address problems discovered by Discord user Kalaron.Huge shoutout and many thanks. HEAT analysis.</t>
  </si>
  <si>
    <t>Design</t>
  </si>
  <si>
    <t>L/D Breech</t>
  </si>
  <si>
    <t>Rbreech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</si>
</sst>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quot;$&quot;* #,##0.00_);_(&quot;$&quot;* \(#,##0.00\);_(&quot;$&quot;* &quot;-&quot;??_);_(@_)"/>
    <numFmt numFmtId="43" formatCode="_(* #,##0.00_);_(* \(#,##0.00\);_(* &quot;-&quot;??_);_(@_)"/>
    <numFmt numFmtId="164" formatCode="0.000"/>
    <numFmt numFmtId="165" formatCode="0E+00"/>
    <numFmt numFmtId="166" formatCode="0.0"/>
    <numFmt numFmtId="167" formatCode="#,##0.0"/>
    <numFmt numFmtId="168" formatCode="#,##0.000"/>
    <numFmt numFmtId="169" formatCode="0.0E+00"/>
    <numFmt numFmtId="170" formatCode="#,##0.00;[Red]#,##0.00"/>
    <numFmt numFmtId="171" formatCode="#,##0.000;[Red]#,##0.000"/>
    <numFmt numFmtId="172" formatCode="#,##0.0000"/>
    <numFmt numFmtId="173" formatCode="0.0%"/>
    <numFmt numFmtId="174" formatCode="0.0000"/>
    <numFmt numFmtId="175" formatCode="#,##0.00000"/>
    <numFmt numFmtId="176" formatCode="0.000%"/>
    <numFmt numFmtId="177" formatCode="#,##0;[Red]#,##0"/>
  </numFmts>
  <fonts count="47">
    <font>
      <sz val="11"/>
      <color theme="1"/>
      <name val="Calibri"/>
      <family val="2"/>
      <scheme val="minor"/>
    </font>
    <font>
      <b/>
      <sz val="16"/>
      <color theme="1"/>
      <name val="Calibri"/>
      <family val="2"/>
      <scheme val="minor"/>
    </font>
    <font>
      <sz val="10"/>
      <name val="Arial"/>
      <family val="2"/>
    </font>
    <font>
      <sz val="10"/>
      <name val="Arial"/>
      <family val="2"/>
    </font>
    <font>
      <sz val="11"/>
      <color theme="1"/>
      <name val="Calibri"/>
      <family val="2"/>
    </font>
    <font>
      <sz val="10"/>
      <color indexed="8"/>
      <name val="Arial"/>
      <family val="2"/>
    </font>
    <font>
      <i/>
      <sz val="10"/>
      <color indexed="8"/>
      <name val="Arial"/>
      <family val="2"/>
    </font>
    <font>
      <i/>
      <sz val="10"/>
      <name val="Arial"/>
      <family val="2"/>
    </font>
    <font>
      <sz val="11"/>
      <color rgb="FF000000"/>
      <name val="Arial"/>
      <family val="2"/>
    </font>
    <font>
      <u/>
      <sz val="11"/>
      <color theme="10"/>
      <name val="Calibri"/>
      <family val="2"/>
      <scheme val="minor"/>
    </font>
    <font>
      <b/>
      <sz val="10"/>
      <name val="Arial"/>
      <family val="2"/>
    </font>
    <font>
      <sz val="11"/>
      <color theme="2" tint="-9.9978637043366805E-2"/>
      <name val="Calibri"/>
      <family val="2"/>
      <scheme val="minor"/>
    </font>
    <font>
      <sz val="8"/>
      <name val="Calibri"/>
      <family val="2"/>
      <scheme val="minor"/>
    </font>
    <font>
      <sz val="11"/>
      <color theme="0"/>
      <name val="Calibri"/>
      <family val="2"/>
      <scheme val="minor"/>
    </font>
    <font>
      <sz val="11"/>
      <name val="Calibri"/>
      <family val="2"/>
      <scheme val="minor"/>
    </font>
    <font>
      <sz val="9"/>
      <color indexed="81"/>
      <name val="Tahoma"/>
      <family val="2"/>
    </font>
    <font>
      <b/>
      <sz val="9"/>
      <color indexed="81"/>
      <name val="Tahoma"/>
      <family val="2"/>
    </font>
    <font>
      <sz val="11"/>
      <color theme="2"/>
      <name val="Calibri"/>
      <family val="2"/>
      <scheme val="minor"/>
    </font>
    <font>
      <sz val="11"/>
      <color theme="1"/>
      <name val="Calibri"/>
      <family val="2"/>
      <scheme val="minor"/>
    </font>
    <font>
      <b/>
      <i/>
      <u/>
      <sz val="9"/>
      <color indexed="81"/>
      <name val="Tahoma"/>
      <family val="2"/>
    </font>
    <font>
      <sz val="11"/>
      <color rgb="FFFF0000"/>
      <name val="Calibri"/>
      <family val="2"/>
      <scheme val="minor"/>
    </font>
    <font>
      <sz val="11"/>
      <color theme="4" tint="-0.499984740745262"/>
      <name val="Consolas"/>
      <family val="3"/>
    </font>
    <font>
      <sz val="11"/>
      <color theme="2"/>
      <name val="Calibri"/>
      <family val="2"/>
    </font>
    <font>
      <sz val="10"/>
      <color theme="0"/>
      <name val="Consolas"/>
      <family val="3"/>
    </font>
    <font>
      <sz val="11"/>
      <color rgb="FFC00000"/>
      <name val="Calibri"/>
      <family val="2"/>
      <scheme val="minor"/>
    </font>
    <font>
      <b/>
      <u/>
      <sz val="11"/>
      <color theme="1"/>
      <name val="Consolas"/>
      <family val="3"/>
    </font>
    <font>
      <b/>
      <sz val="11"/>
      <color theme="1"/>
      <name val="Calibri"/>
      <family val="2"/>
      <scheme val="minor"/>
    </font>
    <font>
      <sz val="11"/>
      <color theme="2" tint="-9.9978637043366805E-2"/>
      <name val="Calibri"/>
      <family val="2"/>
    </font>
    <font>
      <sz val="12"/>
      <color theme="1"/>
      <name val="Calibri"/>
      <family val="2"/>
      <charset val="136"/>
      <scheme val="minor"/>
    </font>
    <font>
      <b/>
      <u/>
      <sz val="11"/>
      <color theme="1"/>
      <name val="Calibri"/>
      <family val="2"/>
      <scheme val="minor"/>
    </font>
    <font>
      <b/>
      <i/>
      <u/>
      <sz val="11"/>
      <color theme="1"/>
      <name val="Calibri"/>
      <family val="2"/>
      <scheme val="minor"/>
    </font>
    <font>
      <sz val="11"/>
      <color theme="2" tint="-0.249977111117893"/>
      <name val="Calibri"/>
      <family val="2"/>
      <scheme val="minor"/>
    </font>
    <font>
      <sz val="10"/>
      <color rgb="FF000000"/>
      <name val="Arial Unicode MS"/>
    </font>
    <font>
      <b/>
      <sz val="11"/>
      <color theme="0"/>
      <name val="Calibri"/>
      <family val="2"/>
      <scheme val="minor"/>
    </font>
    <font>
      <u/>
      <sz val="10"/>
      <color indexed="12"/>
      <name val="Arial"/>
      <family val="2"/>
    </font>
    <font>
      <sz val="11"/>
      <name val="Consolas"/>
      <family val="3"/>
    </font>
    <font>
      <b/>
      <sz val="11"/>
      <color rgb="FFFF0000"/>
      <name val="Calibri"/>
      <family val="2"/>
      <scheme val="minor"/>
    </font>
    <font>
      <sz val="11"/>
      <color rgb="FF00B050"/>
      <name val="Calibri"/>
      <family val="2"/>
      <scheme val="minor"/>
    </font>
    <font>
      <b/>
      <i/>
      <sz val="11"/>
      <color theme="1"/>
      <name val="Calibri"/>
      <family val="2"/>
      <scheme val="minor"/>
    </font>
    <font>
      <sz val="11"/>
      <color rgb="FFFF3300"/>
      <name val="Calibri"/>
      <family val="2"/>
      <scheme val="minor"/>
    </font>
    <font>
      <sz val="10"/>
      <color theme="2" tint="-0.749992370372631"/>
      <name val="Calibri"/>
      <family val="2"/>
      <scheme val="minor"/>
    </font>
    <font>
      <sz val="11"/>
      <color theme="2" tint="-0.24994659260841701"/>
      <name val="Consolas"/>
      <family val="3"/>
    </font>
    <font>
      <b/>
      <u/>
      <sz val="11"/>
      <color rgb="FFFF0000"/>
      <name val="Calibri"/>
      <family val="2"/>
      <scheme val="minor"/>
    </font>
    <font>
      <sz val="11"/>
      <color rgb="FF000000"/>
      <name val="Calibri"/>
      <family val="2"/>
    </font>
    <font>
      <b/>
      <sz val="12"/>
      <color theme="1"/>
      <name val="Calibri"/>
      <family val="2"/>
      <scheme val="minor"/>
    </font>
    <font>
      <i/>
      <sz val="11"/>
      <color theme="1"/>
      <name val="Calibri"/>
      <family val="2"/>
      <scheme val="minor"/>
    </font>
    <font>
      <b/>
      <sz val="14"/>
      <color theme="1"/>
      <name val="Calibri"/>
      <family val="2"/>
      <scheme val="minor"/>
    </font>
  </fonts>
  <fills count="23">
    <fill>
      <patternFill patternType="none"/>
    </fill>
    <fill>
      <patternFill patternType="gray125"/>
    </fill>
    <fill>
      <patternFill patternType="solid">
        <fgColor indexed="48"/>
        <bgColor indexed="64"/>
      </patternFill>
    </fill>
    <fill>
      <patternFill patternType="solid">
        <fgColor indexed="22"/>
        <bgColor indexed="64"/>
      </patternFill>
    </fill>
    <fill>
      <patternFill patternType="solid">
        <fgColor indexed="55"/>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CC00FF"/>
        <bgColor indexed="64"/>
      </patternFill>
    </fill>
    <fill>
      <patternFill patternType="solid">
        <fgColor theme="2"/>
        <bgColor indexed="64"/>
      </patternFill>
    </fill>
    <fill>
      <patternFill patternType="solid">
        <fgColor rgb="FFFFFFFF"/>
        <bgColor indexed="64"/>
      </patternFill>
    </fill>
    <fill>
      <patternFill patternType="gray125">
        <fgColor theme="4" tint="0.59996337778862885"/>
        <bgColor theme="0"/>
      </patternFill>
    </fill>
    <fill>
      <patternFill patternType="solid">
        <fgColor theme="0" tint="-0.14996795556505021"/>
        <bgColor indexed="64"/>
      </patternFill>
    </fill>
    <fill>
      <patternFill patternType="solid">
        <fgColor theme="1" tint="0.24994659260841701"/>
        <bgColor indexed="64"/>
      </patternFill>
    </fill>
    <fill>
      <patternFill patternType="solid">
        <fgColor theme="0" tint="-4.9989318521683403E-2"/>
        <bgColor indexed="64"/>
      </patternFill>
    </fill>
    <fill>
      <patternFill patternType="solid">
        <fgColor theme="1"/>
        <bgColor indexed="64"/>
      </patternFill>
    </fill>
    <fill>
      <patternFill patternType="solid">
        <fgColor theme="1"/>
        <bgColor theme="1"/>
      </patternFill>
    </fill>
    <fill>
      <patternFill patternType="lightVertical">
        <fgColor theme="2" tint="-9.9948118533890809E-2"/>
        <bgColor indexed="65"/>
      </patternFill>
    </fill>
    <fill>
      <patternFill patternType="lightGray">
        <fgColor theme="2" tint="-0.24994659260841701"/>
        <bgColor indexed="65"/>
      </patternFill>
    </fill>
    <fill>
      <patternFill patternType="solid">
        <fgColor theme="0"/>
        <bgColor theme="0"/>
      </patternFill>
    </fill>
    <fill>
      <patternFill patternType="lightGrid">
        <fgColor theme="4"/>
        <bgColor theme="0"/>
      </patternFill>
    </fill>
  </fills>
  <borders count="155">
    <border>
      <left/>
      <right/>
      <top/>
      <bottom/>
      <diagonal/>
    </border>
    <border>
      <left style="medium">
        <color indexed="8"/>
      </left>
      <right style="hair">
        <color indexed="8"/>
      </right>
      <top style="medium">
        <color indexed="8"/>
      </top>
      <bottom style="thin">
        <color indexed="8"/>
      </bottom>
      <diagonal/>
    </border>
    <border>
      <left style="hair">
        <color indexed="8"/>
      </left>
      <right style="hair">
        <color indexed="8"/>
      </right>
      <top style="medium">
        <color indexed="8"/>
      </top>
      <bottom style="thin">
        <color indexed="64"/>
      </bottom>
      <diagonal/>
    </border>
    <border>
      <left style="hair">
        <color indexed="8"/>
      </left>
      <right style="medium">
        <color indexed="8"/>
      </right>
      <top style="medium">
        <color indexed="8"/>
      </top>
      <bottom style="thin">
        <color indexed="64"/>
      </bottom>
      <diagonal/>
    </border>
    <border>
      <left style="medium">
        <color indexed="8"/>
      </left>
      <right style="hair">
        <color indexed="8"/>
      </right>
      <top style="thin">
        <color indexed="8"/>
      </top>
      <bottom style="thin">
        <color indexed="8"/>
      </bottom>
      <diagonal/>
    </border>
    <border>
      <left style="medium">
        <color indexed="8"/>
      </left>
      <right style="hair">
        <color indexed="8"/>
      </right>
      <top style="thin">
        <color indexed="8"/>
      </top>
      <bottom style="medium">
        <color indexed="8"/>
      </bottom>
      <diagonal/>
    </border>
    <border>
      <left style="thin">
        <color rgb="FF000000"/>
      </left>
      <right style="thin">
        <color rgb="FF000000"/>
      </right>
      <top style="thin">
        <color rgb="FF000000"/>
      </top>
      <bottom style="thin">
        <color rgb="FF000000"/>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auto="1"/>
      </left>
      <right style="thin">
        <color auto="1"/>
      </right>
      <top style="thin">
        <color auto="1"/>
      </top>
      <bottom style="thin">
        <color auto="1"/>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style="thin">
        <color auto="1"/>
      </right>
      <top style="thin">
        <color theme="1" tint="0.24994659260841701"/>
      </top>
      <bottom style="thin">
        <color theme="2" tint="-9.9948118533890809E-2"/>
      </bottom>
      <diagonal/>
    </border>
    <border>
      <left style="thin">
        <color theme="1" tint="0.24994659260841701"/>
      </left>
      <right style="thin">
        <color auto="1"/>
      </right>
      <top style="thin">
        <color theme="2" tint="-9.9948118533890809E-2"/>
      </top>
      <bottom style="thin">
        <color theme="2" tint="-9.9948118533890809E-2"/>
      </bottom>
      <diagonal/>
    </border>
    <border>
      <left style="thin">
        <color theme="1" tint="0.24994659260841701"/>
      </left>
      <right style="thin">
        <color auto="1"/>
      </right>
      <top style="thin">
        <color theme="2" tint="-9.9948118533890809E-2"/>
      </top>
      <bottom style="thin">
        <color theme="1" tint="0.2499465926084170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double">
        <color theme="2" tint="-0.499984740745262"/>
      </left>
      <right style="double">
        <color theme="2" tint="-0.499984740745262"/>
      </right>
      <top style="double">
        <color theme="2" tint="-0.499984740745262"/>
      </top>
      <bottom style="double">
        <color theme="2" tint="-0.499984740745262"/>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theme="2" tint="-9.9948118533890809E-2"/>
      </left>
      <right/>
      <top/>
      <bottom/>
      <diagonal/>
    </border>
    <border>
      <left style="hair">
        <color indexed="8"/>
      </left>
      <right/>
      <top style="thin">
        <color indexed="64"/>
      </top>
      <bottom/>
      <diagonal/>
    </border>
    <border>
      <left/>
      <right/>
      <top style="thin">
        <color indexed="64"/>
      </top>
      <bottom/>
      <diagonal/>
    </border>
    <border>
      <left/>
      <right style="medium">
        <color indexed="8"/>
      </right>
      <top style="thin">
        <color indexed="64"/>
      </top>
      <bottom/>
      <diagonal/>
    </border>
    <border>
      <left style="hair">
        <color indexed="8"/>
      </left>
      <right/>
      <top style="thin">
        <color indexed="64"/>
      </top>
      <bottom style="thin">
        <color indexed="64"/>
      </bottom>
      <diagonal/>
    </border>
    <border>
      <left/>
      <right/>
      <top style="thin">
        <color indexed="64"/>
      </top>
      <bottom style="thin">
        <color indexed="64"/>
      </bottom>
      <diagonal/>
    </border>
    <border>
      <left/>
      <right style="medium">
        <color indexed="8"/>
      </right>
      <top style="thin">
        <color indexed="64"/>
      </top>
      <bottom style="thin">
        <color indexed="64"/>
      </bottom>
      <diagonal/>
    </border>
    <border>
      <left style="hair">
        <color indexed="8"/>
      </left>
      <right/>
      <top/>
      <bottom style="thin">
        <color indexed="64"/>
      </bottom>
      <diagonal/>
    </border>
    <border>
      <left/>
      <right/>
      <top/>
      <bottom style="thin">
        <color indexed="64"/>
      </bottom>
      <diagonal/>
    </border>
    <border>
      <left/>
      <right style="medium">
        <color indexed="8"/>
      </right>
      <top/>
      <bottom style="thin">
        <color indexed="64"/>
      </bottom>
      <diagonal/>
    </border>
    <border>
      <left style="hair">
        <color indexed="8"/>
      </left>
      <right/>
      <top style="thin">
        <color indexed="64"/>
      </top>
      <bottom style="medium">
        <color indexed="8"/>
      </bottom>
      <diagonal/>
    </border>
    <border>
      <left/>
      <right/>
      <top style="thin">
        <color indexed="64"/>
      </top>
      <bottom style="medium">
        <color indexed="8"/>
      </bottom>
      <diagonal/>
    </border>
    <border>
      <left/>
      <right style="medium">
        <color indexed="8"/>
      </right>
      <top style="thin">
        <color indexed="64"/>
      </top>
      <bottom style="medium">
        <color indexed="8"/>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medium">
        <color theme="0"/>
      </left>
      <right style="medium">
        <color theme="0"/>
      </right>
      <top style="medium">
        <color theme="0"/>
      </top>
      <bottom style="medium">
        <color theme="0"/>
      </bottom>
      <diagonal/>
    </border>
    <border>
      <left style="medium">
        <color auto="1"/>
      </left>
      <right style="medium">
        <color auto="1"/>
      </right>
      <top/>
      <bottom style="medium">
        <color auto="1"/>
      </bottom>
      <diagonal/>
    </border>
    <border>
      <left style="medium">
        <color theme="0"/>
      </left>
      <right style="medium">
        <color theme="0"/>
      </right>
      <top/>
      <bottom/>
      <diagonal/>
    </border>
    <border diagonalUp="1" diagonalDown="1">
      <left style="thin">
        <color auto="1"/>
      </left>
      <right style="thin">
        <color auto="1"/>
      </right>
      <top style="thin">
        <color auto="1"/>
      </top>
      <bottom style="thin">
        <color auto="1"/>
      </bottom>
      <diagonal style="thin">
        <color auto="1"/>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theme="2"/>
      </left>
      <right style="thin">
        <color theme="2"/>
      </right>
      <top style="thin">
        <color theme="2"/>
      </top>
      <bottom style="thin">
        <color theme="2"/>
      </bottom>
      <diagonal/>
    </border>
    <border>
      <left style="double">
        <color auto="1"/>
      </left>
      <right style="double">
        <color auto="1"/>
      </right>
      <top style="double">
        <color auto="1"/>
      </top>
      <bottom style="double">
        <color auto="1"/>
      </bottom>
      <diagonal/>
    </border>
    <border>
      <left style="thin">
        <color theme="2" tint="-9.9948118533890809E-2"/>
      </left>
      <right style="thin">
        <color theme="2" tint="-9.9948118533890809E-2"/>
      </right>
      <top style="thin">
        <color theme="2" tint="-9.9948118533890809E-2"/>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double">
        <color auto="1"/>
      </left>
      <right style="double">
        <color theme="0"/>
      </right>
      <top style="double">
        <color auto="1"/>
      </top>
      <bottom style="double">
        <color theme="0"/>
      </bottom>
      <diagonal/>
    </border>
    <border>
      <left style="double">
        <color theme="0"/>
      </left>
      <right style="double">
        <color theme="0"/>
      </right>
      <top style="double">
        <color auto="1"/>
      </top>
      <bottom style="double">
        <color theme="0"/>
      </bottom>
      <diagonal/>
    </border>
    <border>
      <left style="double">
        <color auto="1"/>
      </left>
      <right style="double">
        <color theme="0"/>
      </right>
      <top style="double">
        <color theme="0"/>
      </top>
      <bottom style="thin">
        <color auto="1"/>
      </bottom>
      <diagonal/>
    </border>
    <border>
      <left style="double">
        <color theme="0"/>
      </left>
      <right style="double">
        <color theme="0"/>
      </right>
      <top style="double">
        <color theme="0"/>
      </top>
      <bottom style="thin">
        <color auto="1"/>
      </bottom>
      <diagonal/>
    </border>
    <border>
      <left style="double">
        <color theme="0"/>
      </left>
      <right/>
      <top style="double">
        <color auto="1"/>
      </top>
      <bottom style="double">
        <color theme="0"/>
      </bottom>
      <diagonal/>
    </border>
    <border>
      <left style="double">
        <color theme="0"/>
      </left>
      <right/>
      <top style="double">
        <color theme="0"/>
      </top>
      <bottom style="thin">
        <color auto="1"/>
      </bottom>
      <diagonal/>
    </border>
    <border>
      <left style="thin">
        <color theme="0"/>
      </left>
      <right style="thin">
        <color theme="0"/>
      </right>
      <top style="thin">
        <color auto="1"/>
      </top>
      <bottom style="thin">
        <color theme="0"/>
      </bottom>
      <diagonal/>
    </border>
    <border>
      <left style="thin">
        <color theme="0"/>
      </left>
      <right style="thin">
        <color theme="0"/>
      </right>
      <top style="thin">
        <color theme="0"/>
      </top>
      <bottom style="thin">
        <color auto="1"/>
      </bottom>
      <diagonal/>
    </border>
    <border>
      <left style="thin">
        <color auto="1"/>
      </left>
      <right/>
      <top style="thin">
        <color auto="1"/>
      </top>
      <bottom style="thin">
        <color auto="1"/>
      </bottom>
      <diagonal/>
    </border>
    <border>
      <left/>
      <right style="thin">
        <color theme="2" tint="-9.9948118533890809E-2"/>
      </right>
      <top/>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style="thin">
        <color theme="2" tint="-9.9948118533890809E-2"/>
      </left>
      <right style="thin">
        <color theme="2" tint="-9.9948118533890809E-2"/>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right/>
      <top style="double">
        <color auto="1"/>
      </top>
      <bottom style="double">
        <color auto="1"/>
      </bottom>
      <diagonal/>
    </border>
    <border>
      <left style="double">
        <color theme="0"/>
      </left>
      <right style="double">
        <color theme="0"/>
      </right>
      <top style="double">
        <color auto="1"/>
      </top>
      <bottom/>
      <diagonal/>
    </border>
    <border>
      <left style="double">
        <color theme="0"/>
      </left>
      <right style="double">
        <color theme="0"/>
      </right>
      <top/>
      <bottom style="thin">
        <color auto="1"/>
      </bottom>
      <diagonal/>
    </border>
    <border>
      <left style="thin">
        <color theme="2" tint="-9.9917600024414813E-2"/>
      </left>
      <right style="thin">
        <color theme="2" tint="-9.9917600024414813E-2"/>
      </right>
      <top style="thin">
        <color theme="2" tint="-9.9917600024414813E-2"/>
      </top>
      <bottom style="thin">
        <color theme="2" tint="-9.9917600024414813E-2"/>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n">
        <color theme="2" tint="-9.9917600024414813E-2"/>
      </right>
      <top style="thin">
        <color theme="2" tint="-9.9917600024414813E-2"/>
      </top>
      <bottom style="thin">
        <color theme="2" tint="-9.9917600024414813E-2"/>
      </bottom>
      <diagonal/>
    </border>
    <border>
      <left style="thin">
        <color theme="2" tint="-9.9917600024414813E-2"/>
      </left>
      <right style="thin">
        <color theme="2" tint="-9.9917600024414813E-2"/>
      </right>
      <top style="thin">
        <color theme="2" tint="-9.9917600024414813E-2"/>
      </top>
      <bottom style="thick">
        <color auto="1"/>
      </bottom>
      <diagonal/>
    </border>
    <border>
      <left style="thin">
        <color theme="2" tint="-9.9917600024414813E-2"/>
      </left>
      <right style="thin">
        <color theme="2" tint="-9.9917600024414813E-2"/>
      </right>
      <top style="thick">
        <color auto="1"/>
      </top>
      <bottom style="thin">
        <color theme="2" tint="-9.9917600024414813E-2"/>
      </bottom>
      <diagonal/>
    </border>
    <border>
      <left/>
      <right/>
      <top style="thin">
        <color theme="2"/>
      </top>
      <bottom/>
      <diagonal/>
    </border>
    <border>
      <left/>
      <right style="thin">
        <color theme="2"/>
      </right>
      <top style="thin">
        <color theme="2"/>
      </top>
      <bottom/>
      <diagonal/>
    </border>
    <border>
      <left/>
      <right style="thin">
        <color theme="2"/>
      </right>
      <top/>
      <bottom/>
      <diagonal/>
    </border>
    <border>
      <left/>
      <right/>
      <top/>
      <bottom style="thin">
        <color theme="2"/>
      </bottom>
      <diagonal/>
    </border>
    <border>
      <left/>
      <right style="thin">
        <color theme="2"/>
      </right>
      <top/>
      <bottom style="thin">
        <color theme="2"/>
      </bottom>
      <diagonal/>
    </border>
    <border>
      <left style="thick">
        <color theme="1"/>
      </left>
      <right style="thin">
        <color theme="2" tint="-9.9917600024414813E-2"/>
      </right>
      <top style="thin">
        <color theme="2" tint="-9.9917600024414813E-2"/>
      </top>
      <bottom style="thin">
        <color theme="2" tint="-9.9917600024414813E-2"/>
      </bottom>
      <diagonal/>
    </border>
    <border>
      <left/>
      <right style="thick">
        <color theme="1"/>
      </right>
      <top/>
      <bottom/>
      <diagonal/>
    </border>
    <border>
      <left style="thick">
        <color theme="1"/>
      </left>
      <right/>
      <top/>
      <bottom style="thick">
        <color theme="1"/>
      </bottom>
      <diagonal/>
    </border>
    <border>
      <left/>
      <right/>
      <top/>
      <bottom style="thick">
        <color theme="1"/>
      </bottom>
      <diagonal/>
    </border>
    <border>
      <left style="thin">
        <color theme="2" tint="-9.9917600024414813E-2"/>
      </left>
      <right style="thin">
        <color theme="2" tint="-9.9917600024414813E-2"/>
      </right>
      <top style="thin">
        <color theme="2" tint="-9.9917600024414813E-2"/>
      </top>
      <bottom style="thick">
        <color theme="1"/>
      </bottom>
      <diagonal/>
    </border>
    <border>
      <left/>
      <right style="thick">
        <color theme="1"/>
      </right>
      <top/>
      <bottom style="thick">
        <color theme="1"/>
      </bottom>
      <diagonal/>
    </border>
    <border>
      <left/>
      <right style="thick">
        <color auto="1"/>
      </right>
      <top style="thick">
        <color auto="1"/>
      </top>
      <bottom style="thick">
        <color theme="2"/>
      </bottom>
      <diagonal/>
    </border>
    <border>
      <left style="thin">
        <color theme="2" tint="-9.9917600024414813E-2"/>
      </left>
      <right style="thin">
        <color theme="2" tint="-9.9917600024414813E-2"/>
      </right>
      <top/>
      <bottom style="thin">
        <color theme="2" tint="-9.9917600024414813E-2"/>
      </bottom>
      <diagonal/>
    </border>
    <border>
      <left/>
      <right/>
      <top style="thick">
        <color auto="1"/>
      </top>
      <bottom style="thick">
        <color theme="2"/>
      </bottom>
      <diagonal/>
    </border>
    <border>
      <left style="thin">
        <color theme="2" tint="-9.9917600024414813E-2"/>
      </left>
      <right style="thin">
        <color theme="2" tint="-9.9917600024414813E-2"/>
      </right>
      <top style="thick">
        <color auto="1"/>
      </top>
      <bottom style="thick">
        <color theme="2"/>
      </bottom>
      <diagonal/>
    </border>
    <border>
      <left style="thick">
        <color auto="1"/>
      </left>
      <right style="thin">
        <color theme="2"/>
      </right>
      <top style="thick">
        <color auto="1"/>
      </top>
      <bottom style="thin">
        <color theme="2"/>
      </bottom>
      <diagonal/>
    </border>
    <border>
      <left style="thin">
        <color theme="2"/>
      </left>
      <right style="thin">
        <color theme="2"/>
      </right>
      <top style="thick">
        <color auto="1"/>
      </top>
      <bottom style="thin">
        <color theme="2"/>
      </bottom>
      <diagonal/>
    </border>
    <border>
      <left style="thin">
        <color theme="2"/>
      </left>
      <right style="thick">
        <color auto="1"/>
      </right>
      <top style="thick">
        <color auto="1"/>
      </top>
      <bottom style="thin">
        <color theme="2"/>
      </bottom>
      <diagonal/>
    </border>
    <border>
      <left style="thick">
        <color auto="1"/>
      </left>
      <right style="thin">
        <color theme="2"/>
      </right>
      <top style="thin">
        <color theme="2"/>
      </top>
      <bottom style="thin">
        <color theme="2"/>
      </bottom>
      <diagonal/>
    </border>
    <border>
      <left style="thin">
        <color theme="2"/>
      </left>
      <right style="thick">
        <color auto="1"/>
      </right>
      <top style="thin">
        <color theme="2"/>
      </top>
      <bottom style="thin">
        <color theme="2"/>
      </bottom>
      <diagonal/>
    </border>
    <border>
      <left style="thick">
        <color auto="1"/>
      </left>
      <right style="thin">
        <color theme="2"/>
      </right>
      <top style="thin">
        <color theme="2"/>
      </top>
      <bottom style="thick">
        <color auto="1"/>
      </bottom>
      <diagonal/>
    </border>
    <border>
      <left style="thin">
        <color theme="2"/>
      </left>
      <right style="thin">
        <color theme="2"/>
      </right>
      <top style="thin">
        <color theme="2"/>
      </top>
      <bottom style="thick">
        <color auto="1"/>
      </bottom>
      <diagonal/>
    </border>
    <border>
      <left style="thin">
        <color theme="2"/>
      </left>
      <right style="thick">
        <color auto="1"/>
      </right>
      <top style="thin">
        <color theme="2"/>
      </top>
      <bottom style="thick">
        <color auto="1"/>
      </bottom>
      <diagonal/>
    </border>
    <border>
      <left style="thick">
        <color auto="1"/>
      </left>
      <right style="thick">
        <color auto="1"/>
      </right>
      <top style="thin">
        <color theme="2"/>
      </top>
      <bottom style="thin">
        <color theme="2"/>
      </bottom>
      <diagonal/>
    </border>
    <border>
      <left style="thin">
        <color theme="2" tint="-9.9948118533890809E-2"/>
      </left>
      <right/>
      <top style="thin">
        <color theme="2" tint="-9.9917600024414813E-2"/>
      </top>
      <bottom style="thin">
        <color theme="2" tint="-9.9917600024414813E-2"/>
      </bottom>
      <diagonal/>
    </border>
    <border>
      <left/>
      <right/>
      <top style="thin">
        <color theme="2" tint="-9.9917600024414813E-2"/>
      </top>
      <bottom style="thin">
        <color theme="2" tint="-9.9917600024414813E-2"/>
      </bottom>
      <diagonal/>
    </border>
    <border>
      <left/>
      <right style="thin">
        <color theme="2" tint="-9.9917600024414813E-2"/>
      </right>
      <top style="thin">
        <color theme="2" tint="-9.9917600024414813E-2"/>
      </top>
      <bottom style="thin">
        <color theme="2" tint="-9.9917600024414813E-2"/>
      </bottom>
      <diagonal/>
    </border>
    <border>
      <left style="thin">
        <color theme="2" tint="-9.9917600024414813E-2"/>
      </left>
      <right/>
      <top/>
      <bottom/>
      <diagonal/>
    </border>
    <border>
      <left style="thick">
        <color theme="1"/>
      </left>
      <right/>
      <top/>
      <bottom/>
      <diagonal/>
    </border>
    <border>
      <left style="thick">
        <color theme="1"/>
      </left>
      <right/>
      <top style="thick">
        <color theme="1"/>
      </top>
      <bottom style="thick">
        <color theme="2"/>
      </bottom>
      <diagonal/>
    </border>
    <border>
      <left/>
      <right/>
      <top style="thick">
        <color theme="1"/>
      </top>
      <bottom style="thick">
        <color theme="2"/>
      </bottom>
      <diagonal/>
    </border>
    <border>
      <left/>
      <right style="thick">
        <color theme="1"/>
      </right>
      <top style="thick">
        <color theme="1"/>
      </top>
      <bottom style="thick">
        <color theme="2"/>
      </bottom>
      <diagonal/>
    </border>
    <border>
      <left style="thick">
        <color theme="1"/>
      </left>
      <right/>
      <top style="thin">
        <color theme="2"/>
      </top>
      <bottom style="thick">
        <color theme="1"/>
      </bottom>
      <diagonal/>
    </border>
    <border>
      <left/>
      <right/>
      <top style="thin">
        <color theme="2"/>
      </top>
      <bottom style="thick">
        <color theme="1"/>
      </bottom>
      <diagonal/>
    </border>
    <border>
      <left/>
      <right style="thick">
        <color theme="1"/>
      </right>
      <top style="thin">
        <color theme="2"/>
      </top>
      <bottom style="thick">
        <color theme="1"/>
      </bottom>
      <diagonal/>
    </border>
    <border>
      <left style="thin">
        <color theme="2" tint="-9.9917600024414813E-2"/>
      </left>
      <right/>
      <top style="thick">
        <color auto="1"/>
      </top>
      <bottom/>
      <diagonal/>
    </border>
    <border>
      <left style="thin">
        <color theme="2" tint="-9.9917600024414813E-2"/>
      </left>
      <right style="thick">
        <color auto="1"/>
      </right>
      <top style="thick">
        <color auto="1"/>
      </top>
      <bottom style="thin">
        <color theme="2" tint="-9.9917600024414813E-2"/>
      </bottom>
      <diagonal/>
    </border>
    <border>
      <left style="thick">
        <color theme="2"/>
      </left>
      <right style="thick">
        <color theme="2"/>
      </right>
      <top/>
      <bottom style="thick">
        <color auto="1"/>
      </bottom>
      <diagonal/>
    </border>
    <border>
      <left style="thick">
        <color theme="2"/>
      </left>
      <right style="thick">
        <color theme="2"/>
      </right>
      <top style="thin">
        <color theme="2" tint="-9.9917600024414813E-2"/>
      </top>
      <bottom style="thick">
        <color auto="1"/>
      </bottom>
      <diagonal/>
    </border>
    <border>
      <left style="thick">
        <color theme="2"/>
      </left>
      <right style="thick">
        <color auto="1"/>
      </right>
      <top/>
      <bottom style="thick">
        <color auto="1"/>
      </bottom>
      <diagonal/>
    </border>
    <border>
      <left style="thick">
        <color auto="1"/>
      </left>
      <right style="thick">
        <color theme="2"/>
      </right>
      <top style="thick">
        <color auto="1"/>
      </top>
      <bottom/>
      <diagonal/>
    </border>
    <border>
      <left style="thick">
        <color auto="1"/>
      </left>
      <right style="thick">
        <color theme="2"/>
      </right>
      <top/>
      <bottom style="thick">
        <color auto="1"/>
      </bottom>
      <diagonal/>
    </border>
    <border>
      <left style="thick">
        <color auto="1"/>
      </left>
      <right style="thin">
        <color theme="2" tint="-9.9917600024414813E-2"/>
      </right>
      <top style="thick">
        <color auto="1"/>
      </top>
      <bottom style="thin">
        <color theme="2" tint="-9.9917600024414813E-2"/>
      </bottom>
      <diagonal/>
    </border>
    <border>
      <left/>
      <right style="thick">
        <color theme="1"/>
      </right>
      <top style="thin">
        <color theme="2"/>
      </top>
      <bottom/>
      <diagonal/>
    </border>
    <border>
      <left style="double">
        <color auto="1"/>
      </left>
      <right style="thin">
        <color theme="2" tint="-9.9917600024414813E-2"/>
      </right>
      <top style="thin">
        <color theme="2" tint="-9.9917600024414813E-2"/>
      </top>
      <bottom style="thin">
        <color theme="2" tint="-9.9917600024414813E-2"/>
      </bottom>
      <diagonal/>
    </border>
    <border>
      <left style="double">
        <color auto="1"/>
      </left>
      <right style="thin">
        <color theme="2" tint="-9.9917600024414813E-2"/>
      </right>
      <top style="thin">
        <color theme="2" tint="-9.9917600024414813E-2"/>
      </top>
      <bottom style="double">
        <color auto="1"/>
      </bottom>
      <diagonal/>
    </border>
    <border>
      <left/>
      <right/>
      <top style="thin">
        <color theme="2" tint="-9.9917600024414813E-2"/>
      </top>
      <bottom/>
      <diagonal/>
    </border>
    <border>
      <left/>
      <right style="thin">
        <color theme="2" tint="-9.9917600024414813E-2"/>
      </right>
      <top/>
      <bottom/>
      <diagonal/>
    </border>
  </borders>
  <cellStyleXfs count="12">
    <xf numFmtId="0" fontId="0" fillId="0" borderId="0"/>
    <xf numFmtId="0" fontId="23" fillId="15" borderId="9"/>
    <xf numFmtId="0" fontId="9" fillId="0" borderId="0" applyNumberFormat="0" applyFill="0" applyBorder="0" applyAlignment="0" applyProtection="0"/>
    <xf numFmtId="43" fontId="18" fillId="0" borderId="0" applyFont="0" applyFill="0" applyBorder="0" applyAlignment="0" applyProtection="0"/>
    <xf numFmtId="0" fontId="21" fillId="13" borderId="95" applyNumberFormat="0" applyAlignment="0"/>
    <xf numFmtId="0" fontId="18" fillId="14" borderId="0"/>
    <xf numFmtId="0" fontId="25" fillId="0" borderId="16" applyNumberFormat="0"/>
    <xf numFmtId="0" fontId="28" fillId="0" borderId="0"/>
    <xf numFmtId="9" fontId="18" fillId="0" borderId="0" applyFont="0" applyFill="0" applyBorder="0" applyAlignment="0" applyProtection="0"/>
    <xf numFmtId="44" fontId="18" fillId="0" borderId="0" applyFont="0" applyFill="0" applyBorder="0" applyAlignment="0" applyProtection="0"/>
    <xf numFmtId="0" fontId="2" fillId="0" borderId="0"/>
    <xf numFmtId="0" fontId="34" fillId="0" borderId="0" applyNumberFormat="0" applyFill="0" applyBorder="0" applyAlignment="0" applyProtection="0">
      <alignment vertical="top"/>
      <protection locked="0"/>
    </xf>
  </cellStyleXfs>
  <cellXfs count="757">
    <xf numFmtId="0" fontId="0" fillId="0" borderId="0" xfId="0"/>
    <xf numFmtId="4" fontId="0" fillId="0" borderId="0" xfId="0" applyNumberFormat="1"/>
    <xf numFmtId="0" fontId="0" fillId="0" borderId="0" xfId="0" applyAlignment="1">
      <alignment horizontal="left" indent="1"/>
    </xf>
    <xf numFmtId="0" fontId="0" fillId="0" borderId="0" xfId="0" applyAlignment="1">
      <alignment horizontal="left"/>
    </xf>
    <xf numFmtId="2" fontId="0" fillId="0" borderId="0" xfId="0" applyNumberFormat="1"/>
    <xf numFmtId="3" fontId="0" fillId="0" borderId="0" xfId="0" applyNumberFormat="1"/>
    <xf numFmtId="164" fontId="0" fillId="0" borderId="0" xfId="0" applyNumberFormat="1"/>
    <xf numFmtId="1" fontId="0" fillId="0" borderId="0" xfId="0" applyNumberFormat="1"/>
    <xf numFmtId="14" fontId="0" fillId="0" borderId="0" xfId="0" applyNumberFormat="1"/>
    <xf numFmtId="0" fontId="0" fillId="0" borderId="0" xfId="0" applyAlignment="1">
      <alignment wrapText="1"/>
    </xf>
    <xf numFmtId="0" fontId="0" fillId="0" borderId="0" xfId="0" applyAlignment="1"/>
    <xf numFmtId="0" fontId="0" fillId="0" borderId="0" xfId="0" applyAlignment="1">
      <alignment horizontal="center"/>
    </xf>
    <xf numFmtId="0" fontId="0" fillId="0" borderId="0" xfId="0" applyAlignment="1">
      <alignment horizontal="center"/>
    </xf>
    <xf numFmtId="0" fontId="4" fillId="0" borderId="0" xfId="0" applyFont="1"/>
    <xf numFmtId="0" fontId="4" fillId="0" borderId="0" xfId="0" applyFont="1" applyAlignment="1">
      <alignment horizontal="right"/>
    </xf>
    <xf numFmtId="0" fontId="0" fillId="0" borderId="0" xfId="0" applyAlignment="1">
      <alignment horizontal="right"/>
    </xf>
    <xf numFmtId="11" fontId="0" fillId="0" borderId="0" xfId="0" applyNumberFormat="1"/>
    <xf numFmtId="167" fontId="0" fillId="0" borderId="0" xfId="0" applyNumberFormat="1"/>
    <xf numFmtId="168" fontId="0" fillId="0" borderId="0" xfId="0" applyNumberFormat="1"/>
    <xf numFmtId="0" fontId="8" fillId="12" borderId="6" xfId="0" applyFont="1" applyFill="1" applyBorder="1" applyAlignment="1">
      <alignment horizontal="center" vertical="center" wrapText="1"/>
    </xf>
    <xf numFmtId="0" fontId="4" fillId="0" borderId="0" xfId="0" applyFont="1" applyAlignment="1"/>
    <xf numFmtId="169" fontId="0" fillId="0" borderId="0" xfId="0" applyNumberFormat="1"/>
    <xf numFmtId="0" fontId="0" fillId="0" borderId="0" xfId="0" applyFill="1" applyAlignment="1">
      <alignment wrapText="1"/>
    </xf>
    <xf numFmtId="0" fontId="0" fillId="0" borderId="0" xfId="0" applyAlignment="1">
      <alignment vertical="center"/>
    </xf>
    <xf numFmtId="0" fontId="3" fillId="0" borderId="0" xfId="2" applyFont="1" applyAlignment="1">
      <alignment vertical="center"/>
    </xf>
    <xf numFmtId="0" fontId="3" fillId="0" borderId="0" xfId="2" applyFont="1" applyAlignment="1"/>
    <xf numFmtId="0" fontId="3" fillId="0" borderId="0" xfId="2" applyFont="1" applyAlignment="1">
      <alignment vertical="top"/>
    </xf>
    <xf numFmtId="0" fontId="0" fillId="0" borderId="0" xfId="0" applyAlignment="1">
      <alignment vertical="top"/>
    </xf>
    <xf numFmtId="3" fontId="11" fillId="0" borderId="0" xfId="0" applyNumberFormat="1" applyFont="1"/>
    <xf numFmtId="0" fontId="11" fillId="0" borderId="0" xfId="0" applyFont="1"/>
    <xf numFmtId="170" fontId="0" fillId="0" borderId="0" xfId="0" applyNumberFormat="1"/>
    <xf numFmtId="2" fontId="0" fillId="0" borderId="0" xfId="0" applyNumberFormat="1" applyAlignment="1">
      <alignment horizontal="center" vertical="center"/>
    </xf>
    <xf numFmtId="11" fontId="0" fillId="0" borderId="0" xfId="0" applyNumberFormat="1" applyAlignment="1"/>
    <xf numFmtId="171" fontId="0" fillId="0" borderId="0" xfId="0" applyNumberFormat="1"/>
    <xf numFmtId="0" fontId="13" fillId="0" borderId="0" xfId="0" applyFont="1"/>
    <xf numFmtId="0" fontId="0" fillId="0" borderId="0" xfId="0" applyFill="1"/>
    <xf numFmtId="0" fontId="0" fillId="0" borderId="0" xfId="0"/>
    <xf numFmtId="0" fontId="0" fillId="0" borderId="0" xfId="0"/>
    <xf numFmtId="0" fontId="0" fillId="0" borderId="0" xfId="0"/>
    <xf numFmtId="0" fontId="0" fillId="0" borderId="0" xfId="0" applyFont="1"/>
    <xf numFmtId="0" fontId="14" fillId="0" borderId="0" xfId="2" applyFont="1"/>
    <xf numFmtId="169" fontId="14" fillId="0" borderId="0" xfId="0" applyNumberFormat="1" applyFont="1"/>
    <xf numFmtId="0" fontId="14" fillId="0" borderId="0" xfId="0" applyFont="1"/>
    <xf numFmtId="11" fontId="14" fillId="0" borderId="0" xfId="0" applyNumberFormat="1" applyFont="1" applyAlignment="1">
      <alignment horizontal="center" vertical="center"/>
    </xf>
    <xf numFmtId="0" fontId="17" fillId="0" borderId="0" xfId="0" applyFont="1" applyBorder="1"/>
    <xf numFmtId="11" fontId="17" fillId="0" borderId="0" xfId="0" applyNumberFormat="1" applyFont="1" applyBorder="1"/>
    <xf numFmtId="3" fontId="0" fillId="0" borderId="0" xfId="3" applyNumberFormat="1" applyFont="1" applyBorder="1"/>
    <xf numFmtId="10" fontId="0" fillId="0" borderId="0" xfId="0" applyNumberFormat="1"/>
    <xf numFmtId="0" fontId="20" fillId="0" borderId="0" xfId="0" applyFont="1" applyAlignment="1"/>
    <xf numFmtId="0" fontId="20" fillId="0" borderId="0" xfId="0" applyFont="1"/>
    <xf numFmtId="11" fontId="0" fillId="0" borderId="0" xfId="3" applyNumberFormat="1" applyFont="1"/>
    <xf numFmtId="0" fontId="0" fillId="0" borderId="0" xfId="0" applyAlignment="1">
      <alignment horizontal="center" wrapText="1"/>
    </xf>
    <xf numFmtId="0" fontId="0" fillId="0" borderId="0" xfId="0" applyAlignment="1">
      <alignment horizontal="left"/>
    </xf>
    <xf numFmtId="0" fontId="0" fillId="0" borderId="0" xfId="0" applyAlignment="1">
      <alignment horizontal="center"/>
    </xf>
    <xf numFmtId="0" fontId="0" fillId="0" borderId="0" xfId="0" applyAlignment="1">
      <alignment horizontal="right"/>
    </xf>
    <xf numFmtId="0" fontId="0" fillId="0" borderId="0" xfId="0" applyAlignment="1">
      <alignment horizontal="right"/>
    </xf>
    <xf numFmtId="0" fontId="0" fillId="0" borderId="0" xfId="0" applyAlignment="1">
      <alignment horizontal="left"/>
    </xf>
    <xf numFmtId="0" fontId="0" fillId="0" borderId="0" xfId="0" applyAlignment="1">
      <alignment horizontal="left"/>
    </xf>
    <xf numFmtId="0" fontId="0" fillId="0" borderId="0" xfId="0" applyAlignment="1">
      <alignment horizontal="right"/>
    </xf>
    <xf numFmtId="0" fontId="0" fillId="0" borderId="0" xfId="0" applyFont="1" applyBorder="1"/>
    <xf numFmtId="11" fontId="0" fillId="0" borderId="0" xfId="0" applyNumberFormat="1" applyFont="1" applyBorder="1"/>
    <xf numFmtId="3" fontId="0" fillId="0" borderId="0" xfId="0" applyNumberFormat="1" applyFont="1" applyBorder="1"/>
    <xf numFmtId="2" fontId="0" fillId="0" borderId="0" xfId="0" applyNumberFormat="1" applyFont="1" applyBorder="1"/>
    <xf numFmtId="2" fontId="0" fillId="0" borderId="0" xfId="0" applyNumberFormat="1" applyFont="1" applyBorder="1" applyAlignment="1"/>
    <xf numFmtId="170" fontId="0" fillId="0" borderId="0" xfId="0" applyNumberFormat="1" applyFont="1" applyBorder="1"/>
    <xf numFmtId="169" fontId="0" fillId="0" borderId="0" xfId="0" applyNumberFormat="1" applyFont="1" applyBorder="1"/>
    <xf numFmtId="4" fontId="0" fillId="0" borderId="0" xfId="0" applyNumberFormat="1" applyFont="1" applyBorder="1"/>
    <xf numFmtId="2" fontId="17" fillId="0" borderId="0" xfId="0" applyNumberFormat="1" applyFont="1" applyBorder="1"/>
    <xf numFmtId="171" fontId="17" fillId="0" borderId="0" xfId="0" applyNumberFormat="1" applyFont="1" applyBorder="1"/>
    <xf numFmtId="170" fontId="17" fillId="0" borderId="0" xfId="0" applyNumberFormat="1" applyFont="1" applyBorder="1"/>
    <xf numFmtId="0" fontId="21" fillId="13" borderId="95" xfId="4"/>
    <xf numFmtId="11" fontId="21" fillId="13" borderId="95" xfId="4" applyNumberFormat="1"/>
    <xf numFmtId="2" fontId="21" fillId="13" borderId="95" xfId="4" applyNumberFormat="1"/>
    <xf numFmtId="3" fontId="21" fillId="13" borderId="95" xfId="4" applyNumberFormat="1"/>
    <xf numFmtId="0" fontId="17" fillId="0" borderId="0" xfId="0" applyFont="1"/>
    <xf numFmtId="3" fontId="17" fillId="0" borderId="0" xfId="0" applyNumberFormat="1" applyFont="1"/>
    <xf numFmtId="2" fontId="17" fillId="0" borderId="0" xfId="3" applyNumberFormat="1" applyFont="1"/>
    <xf numFmtId="3" fontId="17" fillId="0" borderId="0" xfId="3" applyNumberFormat="1" applyFont="1"/>
    <xf numFmtId="2" fontId="17" fillId="0" borderId="0" xfId="0" applyNumberFormat="1" applyFont="1"/>
    <xf numFmtId="11" fontId="17" fillId="0" borderId="0" xfId="0" applyNumberFormat="1" applyFont="1"/>
    <xf numFmtId="0" fontId="22" fillId="0" borderId="0" xfId="0" applyFont="1"/>
    <xf numFmtId="4" fontId="17" fillId="0" borderId="0" xfId="0" applyNumberFormat="1" applyFont="1"/>
    <xf numFmtId="0" fontId="21" fillId="13" borderId="95" xfId="4" applyNumberFormat="1"/>
    <xf numFmtId="0" fontId="0" fillId="0" borderId="0" xfId="0" applyAlignment="1">
      <alignment horizontal="right"/>
    </xf>
    <xf numFmtId="0" fontId="4" fillId="0" borderId="0" xfId="0" applyFont="1" applyAlignment="1">
      <alignment horizontal="left"/>
    </xf>
    <xf numFmtId="0" fontId="0" fillId="0" borderId="0" xfId="0" applyAlignment="1">
      <alignment horizontal="right"/>
    </xf>
    <xf numFmtId="9" fontId="21" fillId="13" borderId="95" xfId="4" applyNumberFormat="1"/>
    <xf numFmtId="0" fontId="0" fillId="0" borderId="8" xfId="0" applyBorder="1"/>
    <xf numFmtId="4" fontId="0" fillId="0" borderId="8" xfId="0" applyNumberFormat="1" applyBorder="1"/>
    <xf numFmtId="0" fontId="23" fillId="15" borderId="10" xfId="1" applyBorder="1"/>
    <xf numFmtId="0" fontId="23" fillId="15" borderId="11" xfId="1" applyBorder="1"/>
    <xf numFmtId="0" fontId="23" fillId="15" borderId="12" xfId="1" applyBorder="1"/>
    <xf numFmtId="3" fontId="0" fillId="0" borderId="0" xfId="0" applyNumberFormat="1" applyAlignment="1">
      <alignment horizontal="right"/>
    </xf>
    <xf numFmtId="0" fontId="23" fillId="15" borderId="0" xfId="1" applyBorder="1"/>
    <xf numFmtId="4" fontId="0" fillId="0" borderId="14" xfId="0" applyNumberFormat="1" applyBorder="1"/>
    <xf numFmtId="164" fontId="0" fillId="16" borderId="13" xfId="0" applyNumberFormat="1" applyFill="1" applyBorder="1"/>
    <xf numFmtId="0" fontId="0" fillId="0" borderId="15" xfId="0" applyBorder="1" applyAlignment="1">
      <alignment horizontal="center"/>
    </xf>
    <xf numFmtId="2" fontId="0" fillId="0" borderId="15" xfId="0" applyNumberFormat="1" applyBorder="1" applyAlignment="1">
      <alignment horizontal="center"/>
    </xf>
    <xf numFmtId="2" fontId="25" fillId="0" borderId="16" xfId="6" applyNumberFormat="1"/>
    <xf numFmtId="4" fontId="25" fillId="0" borderId="16" xfId="6" applyNumberFormat="1"/>
    <xf numFmtId="11" fontId="8" fillId="12" borderId="6" xfId="0" applyNumberFormat="1" applyFont="1" applyFill="1" applyBorder="1" applyAlignment="1">
      <alignment horizontal="center" vertical="center" wrapText="1"/>
    </xf>
    <xf numFmtId="10" fontId="26" fillId="0" borderId="0" xfId="0" applyNumberFormat="1" applyFont="1"/>
    <xf numFmtId="0" fontId="17" fillId="0" borderId="0" xfId="0" applyFont="1" applyAlignment="1">
      <alignment horizontal="center"/>
    </xf>
    <xf numFmtId="0" fontId="17" fillId="0" borderId="0" xfId="0" applyFont="1" applyAlignment="1">
      <alignment horizontal="center" vertical="center"/>
    </xf>
    <xf numFmtId="165" fontId="17" fillId="0" borderId="0" xfId="0" applyNumberFormat="1" applyFont="1"/>
    <xf numFmtId="0" fontId="26" fillId="0" borderId="0" xfId="0" applyFont="1"/>
    <xf numFmtId="0" fontId="0" fillId="0" borderId="8" xfId="0" applyNumberFormat="1" applyBorder="1"/>
    <xf numFmtId="0" fontId="0" fillId="0" borderId="8" xfId="0" applyBorder="1" applyAlignment="1"/>
    <xf numFmtId="0" fontId="11" fillId="0" borderId="23" xfId="0" applyFont="1" applyBorder="1"/>
    <xf numFmtId="0" fontId="11" fillId="0" borderId="24" xfId="0" applyFont="1" applyBorder="1"/>
    <xf numFmtId="0" fontId="11" fillId="0" borderId="25" xfId="0" applyFont="1" applyBorder="1"/>
    <xf numFmtId="0" fontId="11" fillId="0" borderId="26" xfId="0" applyFont="1" applyBorder="1"/>
    <xf numFmtId="0" fontId="11" fillId="0" borderId="27" xfId="0" applyFont="1" applyBorder="1"/>
    <xf numFmtId="0" fontId="11" fillId="0" borderId="28" xfId="0" applyFont="1" applyBorder="1"/>
    <xf numFmtId="0" fontId="4" fillId="0" borderId="0" xfId="0" applyFont="1" applyFill="1" applyBorder="1"/>
    <xf numFmtId="0" fontId="0" fillId="0" borderId="0" xfId="0" applyAlignment="1">
      <alignment horizontal="center" wrapText="1"/>
    </xf>
    <xf numFmtId="10" fontId="0" fillId="0" borderId="0" xfId="0" applyNumberFormat="1" applyAlignment="1">
      <alignment vertical="center"/>
    </xf>
    <xf numFmtId="0" fontId="0" fillId="0" borderId="0" xfId="0" applyFill="1" applyBorder="1"/>
    <xf numFmtId="165" fontId="11" fillId="0" borderId="0" xfId="0" applyNumberFormat="1" applyFont="1"/>
    <xf numFmtId="0" fontId="27" fillId="0" borderId="0" xfId="0" applyFont="1"/>
    <xf numFmtId="2" fontId="11" fillId="0" borderId="0" xfId="0" applyNumberFormat="1" applyFont="1"/>
    <xf numFmtId="0" fontId="0" fillId="0" borderId="0" xfId="0" applyAlignment="1">
      <alignment horizontal="center"/>
    </xf>
    <xf numFmtId="0" fontId="0" fillId="0" borderId="0" xfId="0" applyAlignment="1">
      <alignment horizontal="right"/>
    </xf>
    <xf numFmtId="10" fontId="0" fillId="0" borderId="0" xfId="0" applyNumberFormat="1" applyAlignment="1">
      <alignment horizontal="center" vertical="center"/>
    </xf>
    <xf numFmtId="0" fontId="0" fillId="0" borderId="0" xfId="0" applyAlignment="1">
      <alignment horizontal="right"/>
    </xf>
    <xf numFmtId="0" fontId="0" fillId="0" borderId="0" xfId="0" applyAlignment="1">
      <alignment vertical="center" wrapText="1"/>
    </xf>
    <xf numFmtId="4" fontId="0" fillId="0" borderId="0" xfId="0" applyNumberFormat="1" applyAlignment="1"/>
    <xf numFmtId="0" fontId="0" fillId="0" borderId="0" xfId="0"/>
    <xf numFmtId="0" fontId="29" fillId="0" borderId="0" xfId="0" applyFont="1"/>
    <xf numFmtId="9" fontId="0" fillId="0" borderId="0" xfId="8" applyFont="1" applyAlignment="1">
      <alignment horizontal="left"/>
    </xf>
    <xf numFmtId="0" fontId="0" fillId="0" borderId="0" xfId="0"/>
    <xf numFmtId="11" fontId="0" fillId="0" borderId="0" xfId="8" applyNumberFormat="1" applyFont="1" applyAlignment="1"/>
    <xf numFmtId="0" fontId="0" fillId="0" borderId="0" xfId="0" applyNumberFormat="1"/>
    <xf numFmtId="0" fontId="30" fillId="0" borderId="0" xfId="0" applyFont="1"/>
    <xf numFmtId="9" fontId="0" fillId="0" borderId="0" xfId="8" applyFont="1"/>
    <xf numFmtId="0" fontId="0" fillId="0" borderId="0" xfId="0" applyAlignment="1">
      <alignment wrapText="1"/>
    </xf>
    <xf numFmtId="0" fontId="0" fillId="0" borderId="0" xfId="0" applyAlignment="1"/>
    <xf numFmtId="0" fontId="31" fillId="0" borderId="0" xfId="0" applyFont="1"/>
    <xf numFmtId="11" fontId="31" fillId="0" borderId="0" xfId="0" applyNumberFormat="1" applyFont="1"/>
    <xf numFmtId="4" fontId="31" fillId="0" borderId="0" xfId="0" applyNumberFormat="1" applyFont="1"/>
    <xf numFmtId="172" fontId="0" fillId="0" borderId="0" xfId="0" applyNumberFormat="1"/>
    <xf numFmtId="0" fontId="0" fillId="0" borderId="0" xfId="0"/>
    <xf numFmtId="11" fontId="11" fillId="0" borderId="0" xfId="0" applyNumberFormat="1" applyFont="1"/>
    <xf numFmtId="0" fontId="0" fillId="0" borderId="0" xfId="0" applyAlignment="1">
      <alignment horizontal="center"/>
    </xf>
    <xf numFmtId="0" fontId="0" fillId="0" borderId="0" xfId="0"/>
    <xf numFmtId="0" fontId="0" fillId="0" borderId="0" xfId="0"/>
    <xf numFmtId="0" fontId="0" fillId="0" borderId="0" xfId="0"/>
    <xf numFmtId="0" fontId="0" fillId="0" borderId="0" xfId="0"/>
    <xf numFmtId="0" fontId="0" fillId="0" borderId="0" xfId="0" applyAlignment="1">
      <alignment horizontal="right"/>
    </xf>
    <xf numFmtId="0" fontId="0" fillId="0" borderId="0" xfId="0" applyFont="1" applyAlignment="1">
      <alignment horizontal="right"/>
    </xf>
    <xf numFmtId="4" fontId="0" fillId="0" borderId="0" xfId="0" applyNumberFormat="1" applyFont="1"/>
    <xf numFmtId="3" fontId="0" fillId="0" borderId="0" xfId="0" applyNumberFormat="1" applyFont="1"/>
    <xf numFmtId="0" fontId="0" fillId="0" borderId="0" xfId="0"/>
    <xf numFmtId="0" fontId="0" fillId="0" borderId="0" xfId="0" applyAlignment="1">
      <alignment wrapText="1"/>
    </xf>
    <xf numFmtId="0" fontId="0" fillId="0" borderId="0" xfId="0"/>
    <xf numFmtId="0" fontId="0" fillId="0" borderId="0" xfId="0"/>
    <xf numFmtId="0" fontId="0" fillId="0" borderId="0" xfId="0" applyAlignment="1"/>
    <xf numFmtId="0" fontId="0" fillId="0" borderId="0" xfId="0" applyFont="1" applyAlignment="1">
      <alignment horizontal="center"/>
    </xf>
    <xf numFmtId="4" fontId="0" fillId="0" borderId="0" xfId="0" applyNumberFormat="1" applyFont="1" applyAlignment="1">
      <alignment horizontal="right"/>
    </xf>
    <xf numFmtId="0" fontId="0" fillId="0" borderId="0" xfId="0" applyFont="1" applyAlignment="1">
      <alignment horizontal="left"/>
    </xf>
    <xf numFmtId="9" fontId="0" fillId="0" borderId="8" xfId="8" applyFont="1" applyBorder="1"/>
    <xf numFmtId="1" fontId="21" fillId="13" borderId="95" xfId="4" applyNumberFormat="1" applyAlignment="1"/>
    <xf numFmtId="0" fontId="0" fillId="0" borderId="0" xfId="0"/>
    <xf numFmtId="0" fontId="0" fillId="0" borderId="0" xfId="0" applyAlignment="1"/>
    <xf numFmtId="0" fontId="0" fillId="0" borderId="0" xfId="0"/>
    <xf numFmtId="0" fontId="0" fillId="0" borderId="0" xfId="0" applyAlignment="1">
      <alignment horizontal="left"/>
    </xf>
    <xf numFmtId="2" fontId="0" fillId="0" borderId="0" xfId="0" applyNumberFormat="1"/>
    <xf numFmtId="3" fontId="0" fillId="0" borderId="0" xfId="0" applyNumberFormat="1"/>
    <xf numFmtId="0" fontId="0" fillId="0" borderId="0" xfId="0" applyAlignment="1"/>
    <xf numFmtId="0" fontId="0" fillId="0" borderId="0" xfId="0" applyAlignment="1">
      <alignment horizontal="center"/>
    </xf>
    <xf numFmtId="0" fontId="4" fillId="0" borderId="0" xfId="0" applyFont="1"/>
    <xf numFmtId="0" fontId="0" fillId="0" borderId="0" xfId="0" applyAlignment="1">
      <alignment horizontal="right"/>
    </xf>
    <xf numFmtId="11" fontId="0" fillId="0" borderId="0" xfId="0" applyNumberFormat="1"/>
    <xf numFmtId="0" fontId="5" fillId="0" borderId="0" xfId="0" applyFont="1"/>
    <xf numFmtId="166" fontId="0" fillId="0" borderId="0" xfId="0" applyNumberFormat="1"/>
    <xf numFmtId="167" fontId="0" fillId="0" borderId="0" xfId="0" applyNumberFormat="1"/>
    <xf numFmtId="169" fontId="0" fillId="0" borderId="0" xfId="0" applyNumberFormat="1"/>
    <xf numFmtId="0" fontId="9" fillId="0" borderId="0" xfId="2"/>
    <xf numFmtId="11" fontId="0" fillId="0" borderId="0" xfId="0" applyNumberFormat="1" applyAlignment="1"/>
    <xf numFmtId="0" fontId="0" fillId="0" borderId="0" xfId="0" applyFont="1"/>
    <xf numFmtId="0" fontId="14" fillId="0" borderId="0" xfId="0" applyFont="1"/>
    <xf numFmtId="10" fontId="0" fillId="0" borderId="0" xfId="0" applyNumberFormat="1"/>
    <xf numFmtId="0" fontId="0" fillId="0" borderId="0" xfId="0" applyFont="1" applyBorder="1"/>
    <xf numFmtId="11" fontId="0" fillId="0" borderId="0" xfId="0" applyNumberFormat="1" applyFont="1" applyBorder="1"/>
    <xf numFmtId="0" fontId="21" fillId="13" borderId="95" xfId="4"/>
    <xf numFmtId="4" fontId="21" fillId="13" borderId="95" xfId="4" applyNumberFormat="1"/>
    <xf numFmtId="11" fontId="21" fillId="13" borderId="95" xfId="4" applyNumberFormat="1"/>
    <xf numFmtId="0" fontId="21" fillId="13" borderId="95" xfId="4" applyAlignment="1">
      <alignment horizontal="center" vertical="center"/>
    </xf>
    <xf numFmtId="3" fontId="21" fillId="13" borderId="95" xfId="4" applyNumberFormat="1"/>
    <xf numFmtId="0" fontId="26" fillId="0" borderId="0" xfId="0" applyFont="1"/>
    <xf numFmtId="0" fontId="0" fillId="0" borderId="0" xfId="0" applyFill="1" applyBorder="1" applyAlignment="1"/>
    <xf numFmtId="3" fontId="21" fillId="13" borderId="95" xfId="4" applyNumberFormat="1" applyFont="1" applyAlignment="1">
      <alignment horizontal="right"/>
    </xf>
    <xf numFmtId="0" fontId="5" fillId="11" borderId="1" xfId="0" applyFont="1" applyFill="1" applyBorder="1" applyAlignment="1"/>
    <xf numFmtId="0" fontId="5" fillId="11" borderId="4" xfId="0" applyFont="1" applyFill="1" applyBorder="1" applyAlignment="1"/>
    <xf numFmtId="0" fontId="2" fillId="5" borderId="4" xfId="0" applyFont="1" applyFill="1" applyBorder="1" applyAlignment="1"/>
    <xf numFmtId="0" fontId="5" fillId="6" borderId="4" xfId="0" applyFont="1" applyFill="1" applyBorder="1" applyAlignment="1"/>
    <xf numFmtId="0" fontId="5" fillId="7" borderId="4" xfId="0" applyFont="1" applyFill="1" applyBorder="1" applyAlignment="1"/>
    <xf numFmtId="0" fontId="5" fillId="8" borderId="4" xfId="0" applyFont="1" applyFill="1" applyBorder="1" applyAlignment="1"/>
    <xf numFmtId="0" fontId="5" fillId="9" borderId="4" xfId="0" applyFont="1" applyFill="1" applyBorder="1" applyAlignment="1"/>
    <xf numFmtId="0" fontId="5" fillId="2" borderId="4" xfId="0" applyFont="1" applyFill="1" applyBorder="1" applyAlignment="1"/>
    <xf numFmtId="0" fontId="5" fillId="10" borderId="4" xfId="0" applyFont="1" applyFill="1" applyBorder="1" applyAlignment="1"/>
    <xf numFmtId="0" fontId="5" fillId="3" borderId="4" xfId="0" applyFont="1" applyFill="1" applyBorder="1" applyAlignment="1"/>
    <xf numFmtId="0" fontId="2" fillId="4" borderId="5" xfId="0" applyFont="1" applyFill="1" applyBorder="1" applyAlignment="1"/>
    <xf numFmtId="0" fontId="5" fillId="11" borderId="38" xfId="0" applyFont="1" applyFill="1" applyBorder="1" applyAlignment="1">
      <alignment horizontal="left"/>
    </xf>
    <xf numFmtId="0" fontId="5" fillId="11" borderId="39" xfId="0" applyFont="1" applyFill="1" applyBorder="1" applyAlignment="1">
      <alignment horizontal="left"/>
    </xf>
    <xf numFmtId="0" fontId="5" fillId="11" borderId="40" xfId="0" applyFont="1" applyFill="1" applyBorder="1" applyAlignment="1">
      <alignment horizontal="left"/>
    </xf>
    <xf numFmtId="0" fontId="2" fillId="5" borderId="44" xfId="0" applyFont="1" applyFill="1" applyBorder="1" applyAlignment="1">
      <alignment horizontal="left"/>
    </xf>
    <xf numFmtId="0" fontId="2" fillId="5" borderId="45" xfId="0" applyFont="1" applyFill="1" applyBorder="1" applyAlignment="1">
      <alignment horizontal="left"/>
    </xf>
    <xf numFmtId="0" fontId="2" fillId="5" borderId="46" xfId="0" applyFont="1" applyFill="1" applyBorder="1" applyAlignment="1">
      <alignment horizontal="left"/>
    </xf>
    <xf numFmtId="0" fontId="5" fillId="6" borderId="41" xfId="0" applyFont="1" applyFill="1" applyBorder="1" applyAlignment="1">
      <alignment horizontal="left"/>
    </xf>
    <xf numFmtId="0" fontId="5" fillId="6" borderId="42" xfId="0" applyFont="1" applyFill="1" applyBorder="1" applyAlignment="1">
      <alignment horizontal="left"/>
    </xf>
    <xf numFmtId="0" fontId="5" fillId="6" borderId="43" xfId="0" applyFont="1" applyFill="1" applyBorder="1" applyAlignment="1">
      <alignment horizontal="left"/>
    </xf>
    <xf numFmtId="0" fontId="5" fillId="7" borderId="41" xfId="0" applyFont="1" applyFill="1" applyBorder="1" applyAlignment="1">
      <alignment horizontal="left"/>
    </xf>
    <xf numFmtId="0" fontId="5" fillId="7" borderId="42" xfId="0" applyFont="1" applyFill="1" applyBorder="1" applyAlignment="1">
      <alignment horizontal="left"/>
    </xf>
    <xf numFmtId="0" fontId="5" fillId="7" borderId="43" xfId="0" applyFont="1" applyFill="1" applyBorder="1" applyAlignment="1">
      <alignment horizontal="left"/>
    </xf>
    <xf numFmtId="0" fontId="5" fillId="8" borderId="41" xfId="0" applyFont="1" applyFill="1" applyBorder="1" applyAlignment="1">
      <alignment horizontal="left"/>
    </xf>
    <xf numFmtId="0" fontId="5" fillId="8" borderId="42" xfId="0" applyFont="1" applyFill="1" applyBorder="1" applyAlignment="1">
      <alignment horizontal="left"/>
    </xf>
    <xf numFmtId="0" fontId="5" fillId="8" borderId="43" xfId="0" applyFont="1" applyFill="1" applyBorder="1" applyAlignment="1">
      <alignment horizontal="left"/>
    </xf>
    <xf numFmtId="0" fontId="5" fillId="9" borderId="41" xfId="0" applyFont="1" applyFill="1" applyBorder="1" applyAlignment="1">
      <alignment horizontal="left"/>
    </xf>
    <xf numFmtId="0" fontId="5" fillId="9" borderId="42" xfId="0" applyFont="1" applyFill="1" applyBorder="1" applyAlignment="1">
      <alignment horizontal="left"/>
    </xf>
    <xf numFmtId="0" fontId="5" fillId="9" borderId="43" xfId="0" applyFont="1" applyFill="1" applyBorder="1" applyAlignment="1">
      <alignment horizontal="left"/>
    </xf>
    <xf numFmtId="0" fontId="5" fillId="2" borderId="41" xfId="0" applyFont="1" applyFill="1" applyBorder="1" applyAlignment="1">
      <alignment horizontal="left"/>
    </xf>
    <xf numFmtId="0" fontId="5" fillId="2" borderId="42" xfId="0" applyFont="1" applyFill="1" applyBorder="1" applyAlignment="1">
      <alignment horizontal="left"/>
    </xf>
    <xf numFmtId="0" fontId="5" fillId="2" borderId="43" xfId="0" applyFont="1" applyFill="1" applyBorder="1" applyAlignment="1">
      <alignment horizontal="left"/>
    </xf>
    <xf numFmtId="0" fontId="5" fillId="10" borderId="38" xfId="0" applyFont="1" applyFill="1" applyBorder="1" applyAlignment="1">
      <alignment horizontal="left"/>
    </xf>
    <xf numFmtId="0" fontId="5" fillId="10" borderId="39" xfId="0" applyFont="1" applyFill="1" applyBorder="1" applyAlignment="1">
      <alignment horizontal="left"/>
    </xf>
    <xf numFmtId="0" fontId="5" fillId="10" borderId="40" xfId="0" applyFont="1" applyFill="1" applyBorder="1" applyAlignment="1">
      <alignment horizontal="left"/>
    </xf>
    <xf numFmtId="0" fontId="5" fillId="11" borderId="44" xfId="0" applyFont="1" applyFill="1" applyBorder="1" applyAlignment="1">
      <alignment horizontal="left"/>
    </xf>
    <xf numFmtId="0" fontId="5" fillId="11" borderId="45" xfId="0" applyFont="1" applyFill="1" applyBorder="1" applyAlignment="1">
      <alignment horizontal="left"/>
    </xf>
    <xf numFmtId="0" fontId="5" fillId="11" borderId="46" xfId="0" applyFont="1" applyFill="1" applyBorder="1" applyAlignment="1">
      <alignment horizontal="left"/>
    </xf>
    <xf numFmtId="0" fontId="5" fillId="3" borderId="41" xfId="0" applyFont="1" applyFill="1" applyBorder="1" applyAlignment="1">
      <alignment horizontal="left"/>
    </xf>
    <xf numFmtId="0" fontId="5" fillId="3" borderId="42" xfId="0" applyFont="1" applyFill="1" applyBorder="1" applyAlignment="1">
      <alignment horizontal="left"/>
    </xf>
    <xf numFmtId="0" fontId="5" fillId="3" borderId="43" xfId="0" applyFont="1" applyFill="1" applyBorder="1" applyAlignment="1">
      <alignment horizontal="left"/>
    </xf>
    <xf numFmtId="0" fontId="2" fillId="4" borderId="47" xfId="0" applyFont="1" applyFill="1" applyBorder="1" applyAlignment="1">
      <alignment horizontal="left"/>
    </xf>
    <xf numFmtId="0" fontId="2" fillId="4" borderId="48" xfId="0" applyFont="1" applyFill="1" applyBorder="1" applyAlignment="1">
      <alignment horizontal="left"/>
    </xf>
    <xf numFmtId="0" fontId="2" fillId="4" borderId="49" xfId="0" applyFont="1" applyFill="1" applyBorder="1" applyAlignment="1">
      <alignment horizontal="left"/>
    </xf>
    <xf numFmtId="3" fontId="0" fillId="0" borderId="0" xfId="0" applyNumberFormat="1" applyAlignment="1"/>
    <xf numFmtId="0" fontId="0" fillId="0" borderId="0" xfId="0"/>
    <xf numFmtId="0" fontId="0" fillId="0" borderId="0" xfId="0"/>
    <xf numFmtId="0" fontId="0" fillId="0" borderId="0" xfId="0"/>
    <xf numFmtId="0" fontId="0" fillId="0" borderId="0" xfId="0" applyAlignment="1">
      <alignment wrapText="1"/>
    </xf>
    <xf numFmtId="0" fontId="0" fillId="0" borderId="0" xfId="0" applyAlignment="1"/>
    <xf numFmtId="0" fontId="0" fillId="0" borderId="0" xfId="0"/>
    <xf numFmtId="0" fontId="26" fillId="0" borderId="54" xfId="0" applyFont="1" applyBorder="1"/>
    <xf numFmtId="0" fontId="0" fillId="0" borderId="54" xfId="0" applyBorder="1"/>
    <xf numFmtId="4" fontId="0" fillId="0" borderId="0" xfId="0" applyNumberFormat="1" applyAlignment="1">
      <alignment wrapText="1"/>
    </xf>
    <xf numFmtId="3" fontId="0" fillId="0" borderId="0" xfId="0" applyNumberFormat="1" applyAlignment="1">
      <alignment wrapText="1"/>
    </xf>
    <xf numFmtId="9" fontId="0" fillId="0" borderId="0" xfId="0" applyNumberFormat="1" applyAlignment="1"/>
    <xf numFmtId="9" fontId="0" fillId="0" borderId="0" xfId="0" applyNumberFormat="1"/>
    <xf numFmtId="9" fontId="0" fillId="0" borderId="0" xfId="8" applyNumberFormat="1" applyFont="1"/>
    <xf numFmtId="0" fontId="0" fillId="0" borderId="0" xfId="0"/>
    <xf numFmtId="9" fontId="0" fillId="0" borderId="0" xfId="0" applyNumberFormat="1" applyAlignment="1">
      <alignment wrapText="1"/>
    </xf>
    <xf numFmtId="4" fontId="0" fillId="0" borderId="0" xfId="8" applyNumberFormat="1" applyFont="1"/>
    <xf numFmtId="0" fontId="0" fillId="0" borderId="0" xfId="0"/>
    <xf numFmtId="0" fontId="0" fillId="0" borderId="0" xfId="0"/>
    <xf numFmtId="0" fontId="0" fillId="0" borderId="0" xfId="0"/>
    <xf numFmtId="173" fontId="0" fillId="0" borderId="0" xfId="0" applyNumberFormat="1" applyAlignment="1">
      <alignment wrapText="1"/>
    </xf>
    <xf numFmtId="173" fontId="0" fillId="0" borderId="0" xfId="0" applyNumberFormat="1"/>
    <xf numFmtId="0" fontId="0" fillId="0" borderId="0" xfId="0"/>
    <xf numFmtId="0" fontId="0" fillId="0" borderId="0" xfId="0"/>
    <xf numFmtId="0" fontId="0" fillId="0" borderId="0" xfId="0"/>
    <xf numFmtId="0" fontId="0" fillId="0" borderId="0" xfId="0"/>
    <xf numFmtId="0" fontId="25" fillId="0" borderId="0" xfId="0" applyFont="1"/>
    <xf numFmtId="0" fontId="0" fillId="0" borderId="0" xfId="0"/>
    <xf numFmtId="0" fontId="0" fillId="0" borderId="0" xfId="0"/>
    <xf numFmtId="0" fontId="4" fillId="0" borderId="0" xfId="9" applyNumberFormat="1" applyFont="1"/>
    <xf numFmtId="0" fontId="0" fillId="0" borderId="0" xfId="0" applyFill="1" applyBorder="1" applyAlignment="1">
      <alignment horizontal="right"/>
    </xf>
    <xf numFmtId="0" fontId="0" fillId="0" borderId="0" xfId="0" applyFill="1" applyBorder="1" applyAlignment="1">
      <alignment horizontal="left"/>
    </xf>
    <xf numFmtId="3" fontId="0" fillId="0" borderId="54" xfId="0" applyNumberFormat="1" applyBorder="1"/>
    <xf numFmtId="174" fontId="0" fillId="0" borderId="0" xfId="0" applyNumberFormat="1"/>
    <xf numFmtId="0" fontId="0" fillId="0" borderId="0" xfId="0" applyAlignment="1">
      <alignment horizontal="center"/>
    </xf>
    <xf numFmtId="0" fontId="0" fillId="0" borderId="0" xfId="0" applyAlignment="1">
      <alignment horizontal="center" wrapText="1"/>
    </xf>
    <xf numFmtId="0" fontId="0" fillId="0" borderId="0" xfId="0"/>
    <xf numFmtId="0" fontId="0" fillId="0" borderId="0" xfId="0" applyAlignment="1">
      <alignment horizontal="center" wrapText="1"/>
    </xf>
    <xf numFmtId="0" fontId="0" fillId="0" borderId="0" xfId="0"/>
    <xf numFmtId="0" fontId="29" fillId="0" borderId="0" xfId="0" applyFont="1" applyAlignment="1">
      <alignment horizontal="center"/>
    </xf>
    <xf numFmtId="0" fontId="0" fillId="0" borderId="15" xfId="0" applyBorder="1" applyAlignment="1">
      <alignment horizontal="center" vertical="center"/>
    </xf>
    <xf numFmtId="0" fontId="0" fillId="0" borderId="0" xfId="0"/>
    <xf numFmtId="0" fontId="0" fillId="0" borderId="54" xfId="0" applyBorder="1" applyAlignment="1">
      <alignment wrapText="1"/>
    </xf>
    <xf numFmtId="4" fontId="0" fillId="0" borderId="54" xfId="0" applyNumberFormat="1" applyBorder="1"/>
    <xf numFmtId="0" fontId="0" fillId="0" borderId="60" xfId="0" applyBorder="1" applyAlignment="1">
      <alignment horizontal="center" vertical="center"/>
    </xf>
    <xf numFmtId="0" fontId="13" fillId="17" borderId="59" xfId="0" applyFont="1" applyFill="1" applyBorder="1" applyAlignment="1">
      <alignment horizontal="center"/>
    </xf>
    <xf numFmtId="0" fontId="13" fillId="17" borderId="59" xfId="0" applyFont="1" applyFill="1" applyBorder="1" applyAlignment="1">
      <alignment horizontal="center" wrapText="1"/>
    </xf>
    <xf numFmtId="1" fontId="0" fillId="0" borderId="54" xfId="0" applyNumberFormat="1" applyBorder="1"/>
    <xf numFmtId="0" fontId="0" fillId="0" borderId="0" xfId="0"/>
    <xf numFmtId="167" fontId="21" fillId="13" borderId="95" xfId="4" applyNumberFormat="1"/>
    <xf numFmtId="0" fontId="0" fillId="0" borderId="0" xfId="0"/>
    <xf numFmtId="0" fontId="13" fillId="17" borderId="61" xfId="0" applyFont="1" applyFill="1" applyBorder="1" applyAlignment="1">
      <alignment horizontal="center" wrapText="1"/>
    </xf>
    <xf numFmtId="0" fontId="0" fillId="0" borderId="0" xfId="0"/>
    <xf numFmtId="0" fontId="0" fillId="0" borderId="0" xfId="0"/>
    <xf numFmtId="0" fontId="0" fillId="0" borderId="0" xfId="0" applyAlignment="1"/>
    <xf numFmtId="0" fontId="17" fillId="0" borderId="0" xfId="0" applyFont="1" applyAlignment="1">
      <alignment horizontal="right"/>
    </xf>
    <xf numFmtId="0" fontId="0" fillId="0" borderId="35" xfId="0" applyBorder="1"/>
    <xf numFmtId="4" fontId="11" fillId="0" borderId="35" xfId="0" applyNumberFormat="1" applyFont="1" applyBorder="1" applyAlignment="1">
      <alignment horizontal="center" wrapText="1"/>
    </xf>
    <xf numFmtId="0" fontId="27" fillId="0" borderId="35" xfId="0" applyFont="1" applyBorder="1"/>
    <xf numFmtId="4" fontId="11" fillId="0" borderId="35" xfId="0" applyNumberFormat="1" applyFont="1" applyBorder="1"/>
    <xf numFmtId="0" fontId="17" fillId="0" borderId="35" xfId="0" applyFont="1" applyBorder="1"/>
    <xf numFmtId="0" fontId="0" fillId="0" borderId="0" xfId="0" applyBorder="1"/>
    <xf numFmtId="4" fontId="11" fillId="0" borderId="0" xfId="0" applyNumberFormat="1" applyFont="1" applyBorder="1" applyAlignment="1">
      <alignment horizontal="center" wrapText="1"/>
    </xf>
    <xf numFmtId="3" fontId="0" fillId="0" borderId="0" xfId="0" applyNumberFormat="1" applyBorder="1"/>
    <xf numFmtId="0" fontId="27" fillId="0" borderId="0" xfId="0" applyFont="1" applyBorder="1"/>
    <xf numFmtId="4" fontId="11" fillId="0" borderId="0" xfId="0" applyNumberFormat="1" applyFont="1" applyBorder="1"/>
    <xf numFmtId="0" fontId="0" fillId="0" borderId="0" xfId="0" applyBorder="1" applyAlignment="1"/>
    <xf numFmtId="0" fontId="21" fillId="13" borderId="7" xfId="4" applyBorder="1"/>
    <xf numFmtId="0" fontId="0" fillId="0" borderId="0" xfId="0" applyBorder="1" applyAlignment="1">
      <alignment horizontal="left" indent="1"/>
    </xf>
    <xf numFmtId="0" fontId="0" fillId="0" borderId="0" xfId="0" applyBorder="1" applyAlignment="1">
      <alignment horizontal="right"/>
    </xf>
    <xf numFmtId="4" fontId="0" fillId="0" borderId="0" xfId="0" applyNumberFormat="1" applyBorder="1"/>
    <xf numFmtId="4" fontId="0" fillId="0" borderId="0" xfId="0" applyNumberFormat="1" applyBorder="1" applyAlignment="1">
      <alignment horizontal="right" wrapText="1"/>
    </xf>
    <xf numFmtId="2" fontId="0" fillId="0" borderId="0" xfId="0" applyNumberFormat="1" applyBorder="1"/>
    <xf numFmtId="0" fontId="11" fillId="0" borderId="0" xfId="0" applyFont="1" applyBorder="1"/>
    <xf numFmtId="0" fontId="0" fillId="0" borderId="0" xfId="0" applyBorder="1" applyAlignment="1">
      <alignment horizontal="center" wrapText="1"/>
    </xf>
    <xf numFmtId="0" fontId="0" fillId="0" borderId="30" xfId="0" applyBorder="1"/>
    <xf numFmtId="0" fontId="17" fillId="0" borderId="30" xfId="0" applyFont="1" applyBorder="1"/>
    <xf numFmtId="0" fontId="0" fillId="0" borderId="0" xfId="0"/>
    <xf numFmtId="0" fontId="0" fillId="0" borderId="0" xfId="0"/>
    <xf numFmtId="0" fontId="26" fillId="0" borderId="0" xfId="0" applyFont="1" applyAlignment="1">
      <alignment horizontal="right"/>
    </xf>
    <xf numFmtId="173" fontId="0" fillId="0" borderId="0" xfId="8" applyNumberFormat="1" applyFont="1"/>
    <xf numFmtId="173" fontId="0" fillId="0" borderId="54" xfId="0" applyNumberFormat="1" applyBorder="1"/>
    <xf numFmtId="0" fontId="0" fillId="0" borderId="62" xfId="0" applyBorder="1"/>
    <xf numFmtId="0" fontId="0" fillId="0" borderId="63" xfId="0" applyBorder="1"/>
    <xf numFmtId="0" fontId="0" fillId="0" borderId="64" xfId="0" applyBorder="1"/>
    <xf numFmtId="165" fontId="0" fillId="0" borderId="64" xfId="8" applyNumberFormat="1" applyFont="1" applyBorder="1"/>
    <xf numFmtId="0" fontId="0" fillId="0" borderId="66" xfId="0" applyBorder="1"/>
    <xf numFmtId="3" fontId="17" fillId="0" borderId="54" xfId="0" applyNumberFormat="1" applyFont="1" applyBorder="1"/>
    <xf numFmtId="3" fontId="17" fillId="0" borderId="67" xfId="0" applyNumberFormat="1" applyFont="1" applyBorder="1"/>
    <xf numFmtId="169" fontId="0" fillId="0" borderId="54" xfId="0" applyNumberFormat="1" applyBorder="1"/>
    <xf numFmtId="169" fontId="0" fillId="0" borderId="67" xfId="0" applyNumberFormat="1" applyBorder="1"/>
    <xf numFmtId="0" fontId="0" fillId="0" borderId="68" xfId="0" applyBorder="1"/>
    <xf numFmtId="0" fontId="0" fillId="0" borderId="69" xfId="0" applyBorder="1"/>
    <xf numFmtId="3" fontId="0" fillId="0" borderId="69" xfId="0" applyNumberFormat="1" applyBorder="1"/>
    <xf numFmtId="3" fontId="0" fillId="0" borderId="70" xfId="0" applyNumberFormat="1" applyBorder="1"/>
    <xf numFmtId="4" fontId="23" fillId="15" borderId="11" xfId="1" applyNumberFormat="1" applyBorder="1"/>
    <xf numFmtId="9" fontId="21" fillId="13" borderId="71" xfId="4" applyNumberFormat="1" applyBorder="1"/>
    <xf numFmtId="175" fontId="0" fillId="0" borderId="0" xfId="0" applyNumberFormat="1"/>
    <xf numFmtId="2" fontId="0" fillId="0" borderId="65" xfId="8" applyNumberFormat="1" applyFont="1" applyBorder="1"/>
    <xf numFmtId="0" fontId="0" fillId="0" borderId="0" xfId="0" quotePrefix="1"/>
    <xf numFmtId="4" fontId="0" fillId="0" borderId="72" xfId="0" applyNumberFormat="1" applyBorder="1"/>
    <xf numFmtId="0" fontId="0" fillId="0" borderId="0" xfId="0"/>
    <xf numFmtId="0" fontId="0" fillId="0" borderId="0" xfId="0" applyAlignment="1">
      <alignment horizontal="center"/>
    </xf>
    <xf numFmtId="0" fontId="0" fillId="0" borderId="0" xfId="0" applyAlignment="1"/>
    <xf numFmtId="0" fontId="0" fillId="0" borderId="0" xfId="0"/>
    <xf numFmtId="0" fontId="0" fillId="0" borderId="0" xfId="0"/>
    <xf numFmtId="3" fontId="0" fillId="0" borderId="0" xfId="0" applyNumberFormat="1" applyAlignment="1">
      <alignment horizontal="center"/>
    </xf>
    <xf numFmtId="11" fontId="14" fillId="0" borderId="0" xfId="0" applyNumberFormat="1" applyFont="1"/>
    <xf numFmtId="0" fontId="14" fillId="0" borderId="0" xfId="0" applyFont="1" applyAlignment="1">
      <alignment horizontal="center"/>
    </xf>
    <xf numFmtId="0" fontId="0" fillId="0" borderId="0" xfId="0" applyAlignment="1">
      <alignment horizontal="center"/>
    </xf>
    <xf numFmtId="0" fontId="0" fillId="0" borderId="0" xfId="0"/>
    <xf numFmtId="0" fontId="11" fillId="0" borderId="0" xfId="0" applyFont="1" applyFill="1" applyBorder="1" applyAlignment="1">
      <alignment horizontal="right"/>
    </xf>
    <xf numFmtId="0" fontId="0" fillId="0" borderId="0" xfId="0"/>
    <xf numFmtId="0" fontId="0" fillId="0" borderId="0" xfId="0" applyAlignment="1">
      <alignment horizontal="left" vertical="top" wrapText="1"/>
    </xf>
    <xf numFmtId="0" fontId="0" fillId="0" borderId="0" xfId="0"/>
    <xf numFmtId="0" fontId="21" fillId="13" borderId="73" xfId="4" applyBorder="1"/>
    <xf numFmtId="0" fontId="0" fillId="0" borderId="74" xfId="0" applyBorder="1"/>
    <xf numFmtId="0" fontId="0" fillId="0" borderId="20" xfId="0" applyFill="1" applyBorder="1"/>
    <xf numFmtId="0" fontId="0" fillId="0" borderId="22" xfId="0" applyBorder="1" applyAlignment="1">
      <alignment wrapText="1"/>
    </xf>
    <xf numFmtId="0" fontId="0" fillId="0" borderId="75" xfId="0" applyBorder="1" applyAlignment="1">
      <alignment wrapText="1"/>
    </xf>
    <xf numFmtId="0" fontId="0" fillId="0" borderId="0" xfId="0"/>
    <xf numFmtId="169" fontId="21" fillId="13" borderId="95" xfId="4" applyNumberFormat="1"/>
    <xf numFmtId="0" fontId="0" fillId="0" borderId="0" xfId="0" applyBorder="1" applyAlignment="1">
      <alignment wrapText="1"/>
    </xf>
    <xf numFmtId="0" fontId="0" fillId="0" borderId="0" xfId="0"/>
    <xf numFmtId="0" fontId="0" fillId="0" borderId="0" xfId="0"/>
    <xf numFmtId="0" fontId="0" fillId="0" borderId="0" xfId="0" applyAlignment="1">
      <alignment horizontal="right" vertical="center"/>
    </xf>
    <xf numFmtId="176" fontId="0" fillId="0" borderId="0" xfId="0" applyNumberFormat="1"/>
    <xf numFmtId="3" fontId="0" fillId="0" borderId="66" xfId="0" applyNumberFormat="1" applyBorder="1"/>
    <xf numFmtId="9" fontId="0" fillId="0" borderId="54" xfId="0" applyNumberFormat="1" applyBorder="1"/>
    <xf numFmtId="167" fontId="0" fillId="0" borderId="54" xfId="0" applyNumberFormat="1" applyBorder="1"/>
    <xf numFmtId="0" fontId="13" fillId="17" borderId="79" xfId="0" applyFont="1" applyFill="1" applyBorder="1" applyAlignment="1">
      <alignment horizontal="center" vertical="center" wrapText="1"/>
    </xf>
    <xf numFmtId="0" fontId="13" fillId="17" borderId="81" xfId="0" applyFont="1" applyFill="1" applyBorder="1" applyAlignment="1">
      <alignment horizontal="center" vertical="center" wrapText="1"/>
    </xf>
    <xf numFmtId="0" fontId="13" fillId="18" borderId="83" xfId="0" applyFont="1" applyFill="1" applyBorder="1" applyAlignment="1">
      <alignment horizontal="center" vertical="center" wrapText="1"/>
    </xf>
    <xf numFmtId="0" fontId="13" fillId="18" borderId="28" xfId="0" applyFont="1" applyFill="1" applyBorder="1" applyAlignment="1">
      <alignment horizontal="center" vertical="center" wrapText="1"/>
    </xf>
    <xf numFmtId="9" fontId="0" fillId="0" borderId="67" xfId="0" applyNumberFormat="1" applyBorder="1"/>
    <xf numFmtId="4" fontId="0" fillId="0" borderId="84" xfId="0" applyNumberFormat="1" applyBorder="1"/>
    <xf numFmtId="0" fontId="0" fillId="0" borderId="0" xfId="0"/>
    <xf numFmtId="0" fontId="0" fillId="0" borderId="0" xfId="0"/>
    <xf numFmtId="0" fontId="0" fillId="0" borderId="0" xfId="0"/>
    <xf numFmtId="0" fontId="0" fillId="0" borderId="0" xfId="0"/>
    <xf numFmtId="0" fontId="0" fillId="0" borderId="0" xfId="0" applyAlignment="1">
      <alignment horizontal="left" vertical="center"/>
    </xf>
    <xf numFmtId="0" fontId="0" fillId="0" borderId="54" xfId="0" applyBorder="1" applyAlignment="1">
      <alignment horizontal="left" vertical="center"/>
    </xf>
    <xf numFmtId="3" fontId="21" fillId="13" borderId="89" xfId="4" applyNumberFormat="1" applyBorder="1"/>
    <xf numFmtId="0" fontId="0" fillId="0" borderId="0" xfId="0"/>
    <xf numFmtId="11" fontId="14" fillId="0" borderId="0" xfId="0" applyNumberFormat="1" applyFont="1" applyAlignment="1">
      <alignment horizontal="right"/>
    </xf>
    <xf numFmtId="0" fontId="14" fillId="0" borderId="0" xfId="0" applyFont="1" applyAlignment="1">
      <alignment horizontal="right"/>
    </xf>
    <xf numFmtId="0" fontId="0" fillId="0" borderId="67" xfId="0" applyBorder="1"/>
    <xf numFmtId="0" fontId="0" fillId="0" borderId="70" xfId="0" applyBorder="1"/>
    <xf numFmtId="0" fontId="0" fillId="0" borderId="0" xfId="0"/>
    <xf numFmtId="0" fontId="0" fillId="0" borderId="0" xfId="0" applyAlignment="1"/>
    <xf numFmtId="0" fontId="0" fillId="0" borderId="0" xfId="0" applyAlignment="1"/>
    <xf numFmtId="0" fontId="0" fillId="0" borderId="0" xfId="0"/>
    <xf numFmtId="165" fontId="21" fillId="13" borderId="95" xfId="4" applyNumberFormat="1"/>
    <xf numFmtId="4" fontId="0" fillId="0" borderId="30" xfId="0" applyNumberFormat="1" applyBorder="1"/>
    <xf numFmtId="4" fontId="0" fillId="0" borderId="35" xfId="0" applyNumberFormat="1" applyBorder="1"/>
    <xf numFmtId="4" fontId="11" fillId="0" borderId="0" xfId="0" applyNumberFormat="1" applyFont="1"/>
    <xf numFmtId="4" fontId="25" fillId="0" borderId="16" xfId="6" applyNumberFormat="1" applyAlignment="1">
      <alignment horizontal="center"/>
    </xf>
    <xf numFmtId="1" fontId="0" fillId="0" borderId="0" xfId="0" applyNumberFormat="1" applyAlignment="1"/>
    <xf numFmtId="0" fontId="23" fillId="15" borderId="10" xfId="1" applyBorder="1" applyAlignment="1">
      <alignment horizontal="right"/>
    </xf>
    <xf numFmtId="4" fontId="23" fillId="15" borderId="11" xfId="1" applyNumberFormat="1" applyBorder="1" applyAlignment="1">
      <alignment horizontal="right"/>
    </xf>
    <xf numFmtId="0" fontId="23" fillId="15" borderId="11" xfId="1" applyBorder="1" applyAlignment="1">
      <alignment horizontal="right"/>
    </xf>
    <xf numFmtId="1" fontId="17" fillId="0" borderId="0" xfId="0" applyNumberFormat="1" applyFont="1"/>
    <xf numFmtId="0" fontId="0" fillId="0" borderId="0" xfId="0"/>
    <xf numFmtId="0" fontId="0" fillId="0" borderId="0" xfId="0"/>
    <xf numFmtId="0" fontId="0" fillId="0" borderId="0" xfId="0"/>
    <xf numFmtId="0" fontId="0" fillId="0" borderId="0" xfId="0"/>
    <xf numFmtId="0" fontId="0" fillId="0" borderId="0" xfId="0"/>
    <xf numFmtId="0" fontId="0" fillId="0" borderId="18" xfId="0" applyBorder="1"/>
    <xf numFmtId="1" fontId="0" fillId="0" borderId="84" xfId="0" applyNumberFormat="1" applyBorder="1"/>
    <xf numFmtId="0" fontId="0" fillId="0" borderId="21" xfId="0" applyBorder="1" applyAlignment="1">
      <alignment wrapText="1"/>
    </xf>
    <xf numFmtId="0" fontId="0" fillId="0" borderId="14" xfId="0" applyBorder="1"/>
    <xf numFmtId="1" fontId="0" fillId="0" borderId="14" xfId="0" applyNumberFormat="1" applyBorder="1"/>
    <xf numFmtId="3" fontId="0" fillId="0" borderId="14" xfId="0" applyNumberFormat="1" applyBorder="1"/>
    <xf numFmtId="1" fontId="0" fillId="0" borderId="17" xfId="0" applyNumberFormat="1" applyBorder="1"/>
    <xf numFmtId="0" fontId="0" fillId="0" borderId="0" xfId="0" applyAlignment="1">
      <alignment horizontal="center"/>
    </xf>
    <xf numFmtId="0" fontId="0" fillId="0" borderId="0" xfId="0"/>
    <xf numFmtId="0" fontId="21" fillId="13" borderId="95" xfId="4" applyAlignment="1">
      <alignment horizontal="right"/>
    </xf>
    <xf numFmtId="0" fontId="21" fillId="13" borderId="95" xfId="4" applyAlignment="1">
      <alignment horizontal="center"/>
    </xf>
    <xf numFmtId="0" fontId="0" fillId="0" borderId="96" xfId="0" applyBorder="1"/>
    <xf numFmtId="0" fontId="0" fillId="0" borderId="97" xfId="0" applyBorder="1"/>
    <xf numFmtId="0" fontId="0" fillId="0" borderId="98" xfId="0" applyBorder="1"/>
    <xf numFmtId="0" fontId="0" fillId="0" borderId="99" xfId="0" applyBorder="1"/>
    <xf numFmtId="0" fontId="21" fillId="13" borderId="95" xfId="4" applyBorder="1"/>
    <xf numFmtId="0" fontId="0" fillId="0" borderId="100" xfId="0" applyBorder="1"/>
    <xf numFmtId="0" fontId="0" fillId="0" borderId="101" xfId="0" applyBorder="1"/>
    <xf numFmtId="0" fontId="0" fillId="0" borderId="102" xfId="0" applyBorder="1"/>
    <xf numFmtId="0" fontId="0" fillId="0" borderId="103" xfId="0" applyBorder="1"/>
    <xf numFmtId="0" fontId="21" fillId="13" borderId="104" xfId="4" applyBorder="1"/>
    <xf numFmtId="0" fontId="21" fillId="13" borderId="105" xfId="4" applyBorder="1"/>
    <xf numFmtId="0" fontId="17" fillId="0" borderId="96" xfId="0" applyFont="1" applyBorder="1"/>
    <xf numFmtId="0" fontId="21" fillId="13" borderId="106" xfId="4" applyBorder="1"/>
    <xf numFmtId="0" fontId="0" fillId="0" borderId="107" xfId="0" applyBorder="1"/>
    <xf numFmtId="3" fontId="0" fillId="0" borderId="107" xfId="0" applyNumberFormat="1" applyBorder="1"/>
    <xf numFmtId="0" fontId="0" fillId="0" borderId="108" xfId="0" applyBorder="1"/>
    <xf numFmtId="0" fontId="0" fillId="0" borderId="109" xfId="0" applyBorder="1"/>
    <xf numFmtId="0" fontId="0" fillId="0" borderId="110" xfId="0" applyBorder="1"/>
    <xf numFmtId="3" fontId="0" fillId="0" borderId="110" xfId="0" applyNumberFormat="1" applyBorder="1"/>
    <xf numFmtId="0" fontId="0" fillId="0" borderId="111" xfId="0" applyBorder="1"/>
    <xf numFmtId="0" fontId="21" fillId="13" borderId="112" xfId="4" applyBorder="1"/>
    <xf numFmtId="0" fontId="0" fillId="0" borderId="113" xfId="0" applyBorder="1"/>
    <xf numFmtId="0" fontId="17" fillId="0" borderId="114" xfId="0" applyFont="1" applyBorder="1"/>
    <xf numFmtId="0" fontId="0" fillId="0" borderId="115" xfId="0" applyBorder="1"/>
    <xf numFmtId="0" fontId="21" fillId="13" borderId="116" xfId="4" applyBorder="1"/>
    <xf numFmtId="0" fontId="0" fillId="0" borderId="117" xfId="0" applyBorder="1"/>
    <xf numFmtId="0" fontId="0" fillId="0" borderId="99" xfId="0" applyBorder="1" applyAlignment="1">
      <alignment horizontal="right"/>
    </xf>
    <xf numFmtId="0" fontId="0" fillId="0" borderId="101" xfId="0" applyFill="1" applyBorder="1" applyAlignment="1">
      <alignment horizontal="right"/>
    </xf>
    <xf numFmtId="0" fontId="35" fillId="13" borderId="105" xfId="4" applyFont="1" applyBorder="1"/>
    <xf numFmtId="0" fontId="21" fillId="13" borderId="119" xfId="4" applyBorder="1"/>
    <xf numFmtId="0" fontId="21" fillId="13" borderId="121" xfId="4" applyBorder="1"/>
    <xf numFmtId="0" fontId="0" fillId="0" borderId="118" xfId="0" applyBorder="1"/>
    <xf numFmtId="0" fontId="0" fillId="0" borderId="120" xfId="0" applyBorder="1" applyAlignment="1">
      <alignment horizontal="left"/>
    </xf>
    <xf numFmtId="0" fontId="0" fillId="0" borderId="122" xfId="0" applyBorder="1"/>
    <xf numFmtId="0" fontId="0" fillId="0" borderId="123" xfId="0" applyBorder="1"/>
    <xf numFmtId="0" fontId="0" fillId="0" borderId="124" xfId="0" applyBorder="1"/>
    <xf numFmtId="0" fontId="0" fillId="0" borderId="125" xfId="0" applyBorder="1"/>
    <xf numFmtId="0" fontId="14" fillId="0" borderId="71" xfId="0" applyFont="1" applyBorder="1"/>
    <xf numFmtId="0" fontId="0" fillId="0" borderId="126" xfId="0" applyBorder="1"/>
    <xf numFmtId="0" fontId="0" fillId="0" borderId="127" xfId="0" applyBorder="1"/>
    <xf numFmtId="0" fontId="0" fillId="0" borderId="128" xfId="0" applyBorder="1"/>
    <xf numFmtId="0" fontId="0" fillId="0" borderId="129" xfId="0" applyBorder="1"/>
    <xf numFmtId="0" fontId="0" fillId="0" borderId="130" xfId="0" applyBorder="1"/>
    <xf numFmtId="0" fontId="21" fillId="13" borderId="119" xfId="4" applyBorder="1" applyAlignment="1">
      <alignment horizontal="right"/>
    </xf>
    <xf numFmtId="0" fontId="0" fillId="0" borderId="135" xfId="0" applyBorder="1"/>
    <xf numFmtId="170" fontId="0" fillId="0" borderId="0" xfId="0" applyNumberFormat="1" applyBorder="1"/>
    <xf numFmtId="0" fontId="0" fillId="0" borderId="136" xfId="0" applyBorder="1"/>
    <xf numFmtId="0" fontId="0" fillId="0" borderId="137" xfId="0" applyBorder="1"/>
    <xf numFmtId="0" fontId="0" fillId="0" borderId="138" xfId="0" applyBorder="1"/>
    <xf numFmtId="0" fontId="0" fillId="0" borderId="139" xfId="0" applyBorder="1"/>
    <xf numFmtId="0" fontId="0" fillId="0" borderId="140" xfId="0" applyBorder="1"/>
    <xf numFmtId="0" fontId="0" fillId="0" borderId="141" xfId="0" applyBorder="1"/>
    <xf numFmtId="4" fontId="0" fillId="0" borderId="140" xfId="0" applyNumberFormat="1" applyBorder="1"/>
    <xf numFmtId="4" fontId="0" fillId="0" borderId="137" xfId="0" applyNumberFormat="1" applyBorder="1"/>
    <xf numFmtId="0" fontId="0" fillId="0" borderId="134" xfId="0" applyBorder="1" applyAlignment="1"/>
    <xf numFmtId="0" fontId="21" fillId="13" borderId="105" xfId="4" applyBorder="1" applyAlignment="1"/>
    <xf numFmtId="0" fontId="0" fillId="0" borderId="101" xfId="0" applyBorder="1" applyAlignment="1">
      <alignment horizontal="center"/>
    </xf>
    <xf numFmtId="0" fontId="21" fillId="13" borderId="145" xfId="4" applyBorder="1"/>
    <xf numFmtId="0" fontId="0" fillId="0" borderId="144" xfId="0" applyBorder="1"/>
    <xf numFmtId="0" fontId="0" fillId="0" borderId="146" xfId="0" applyBorder="1"/>
    <xf numFmtId="4" fontId="21" fillId="13" borderId="105" xfId="4" applyNumberFormat="1" applyBorder="1"/>
    <xf numFmtId="4" fontId="0" fillId="0" borderId="97" xfId="0" applyNumberFormat="1" applyBorder="1" applyAlignment="1">
      <alignment horizontal="right"/>
    </xf>
    <xf numFmtId="0" fontId="0" fillId="0" borderId="0" xfId="0" applyAlignment="1">
      <alignment horizontal="center"/>
    </xf>
    <xf numFmtId="0" fontId="0" fillId="0" borderId="0" xfId="0"/>
    <xf numFmtId="0" fontId="21" fillId="13" borderId="95" xfId="4" applyAlignment="1">
      <alignment horizontal="center"/>
    </xf>
    <xf numFmtId="0" fontId="0" fillId="0" borderId="134" xfId="0" applyBorder="1" applyAlignment="1">
      <alignment horizontal="left"/>
    </xf>
    <xf numFmtId="0" fontId="0" fillId="0" borderId="97" xfId="0" applyBorder="1" applyAlignment="1">
      <alignment wrapText="1"/>
    </xf>
    <xf numFmtId="0" fontId="0" fillId="0" borderId="98" xfId="0" applyBorder="1" applyAlignment="1">
      <alignment wrapText="1"/>
    </xf>
    <xf numFmtId="0" fontId="0" fillId="0" borderId="102" xfId="0" applyBorder="1" applyAlignment="1">
      <alignment wrapText="1"/>
    </xf>
    <xf numFmtId="167" fontId="21" fillId="13" borderId="149" xfId="4" applyNumberFormat="1" applyBorder="1"/>
    <xf numFmtId="177" fontId="0" fillId="0" borderId="99" xfId="0" applyNumberFormat="1" applyBorder="1"/>
    <xf numFmtId="0" fontId="0" fillId="17" borderId="0" xfId="0" applyFill="1"/>
    <xf numFmtId="3" fontId="0" fillId="17" borderId="0" xfId="0" applyNumberFormat="1" applyFill="1"/>
    <xf numFmtId="3" fontId="0" fillId="0" borderId="97" xfId="0" applyNumberFormat="1" applyBorder="1"/>
    <xf numFmtId="3" fontId="0" fillId="0" borderId="102" xfId="0" applyNumberFormat="1" applyBorder="1"/>
    <xf numFmtId="0" fontId="0" fillId="0" borderId="0" xfId="0" applyAlignment="1">
      <alignment wrapText="1"/>
    </xf>
    <xf numFmtId="0" fontId="0" fillId="0" borderId="0" xfId="0"/>
    <xf numFmtId="0" fontId="21" fillId="13" borderId="0" xfId="4" applyBorder="1"/>
    <xf numFmtId="0" fontId="0" fillId="19" borderId="0" xfId="0" applyFill="1"/>
    <xf numFmtId="0" fontId="0" fillId="19" borderId="0" xfId="0" applyFill="1" applyAlignment="1">
      <alignment horizontal="right"/>
    </xf>
    <xf numFmtId="0" fontId="0" fillId="0" borderId="0" xfId="0" applyAlignment="1">
      <alignment horizontal="center"/>
    </xf>
    <xf numFmtId="0" fontId="0" fillId="0" borderId="0" xfId="0"/>
    <xf numFmtId="0" fontId="20" fillId="0" borderId="0" xfId="0" applyFont="1" applyAlignment="1">
      <alignment horizontal="right"/>
    </xf>
    <xf numFmtId="0" fontId="0" fillId="20" borderId="0" xfId="0" applyFill="1"/>
    <xf numFmtId="0" fontId="17" fillId="0" borderId="0" xfId="0" applyFont="1" applyFill="1" applyBorder="1"/>
    <xf numFmtId="0" fontId="36" fillId="0" borderId="0" xfId="0" applyFont="1"/>
    <xf numFmtId="0" fontId="37" fillId="0" borderId="0" xfId="0" applyFont="1" applyAlignment="1">
      <alignment horizontal="right"/>
    </xf>
    <xf numFmtId="0" fontId="0" fillId="0" borderId="150" xfId="0" applyBorder="1"/>
    <xf numFmtId="0" fontId="0" fillId="0" borderId="127" xfId="0" applyBorder="1" applyAlignment="1">
      <alignment horizontal="right"/>
    </xf>
    <xf numFmtId="0" fontId="38" fillId="0" borderId="0" xfId="0" applyFont="1"/>
    <xf numFmtId="3" fontId="31" fillId="0" borderId="0" xfId="0" applyNumberFormat="1" applyFont="1"/>
    <xf numFmtId="0" fontId="39" fillId="0" borderId="0" xfId="0" applyFont="1" applyAlignment="1">
      <alignment horizontal="right"/>
    </xf>
    <xf numFmtId="0" fontId="0" fillId="0" borderId="0" xfId="0"/>
    <xf numFmtId="0" fontId="0" fillId="0" borderId="15" xfId="0" applyBorder="1"/>
    <xf numFmtId="9" fontId="21" fillId="13" borderId="15" xfId="4" applyNumberFormat="1" applyBorder="1"/>
    <xf numFmtId="0" fontId="0" fillId="0" borderId="15" xfId="0" applyFill="1" applyBorder="1"/>
    <xf numFmtId="9" fontId="0" fillId="0" borderId="15" xfId="0" applyNumberFormat="1" applyBorder="1"/>
    <xf numFmtId="0" fontId="40" fillId="0" borderId="0" xfId="0" applyFont="1" applyAlignment="1">
      <alignment horizontal="right" vertical="top"/>
    </xf>
    <xf numFmtId="1" fontId="40" fillId="0" borderId="0" xfId="0" applyNumberFormat="1" applyFont="1" applyAlignment="1">
      <alignment vertical="top"/>
    </xf>
    <xf numFmtId="0" fontId="40" fillId="0" borderId="0" xfId="0" applyFont="1" applyAlignment="1">
      <alignment vertical="top"/>
    </xf>
    <xf numFmtId="0" fontId="0" fillId="0" borderId="0" xfId="0" applyAlignment="1"/>
    <xf numFmtId="0" fontId="0" fillId="0" borderId="0" xfId="0"/>
    <xf numFmtId="9" fontId="41" fillId="21" borderId="95" xfId="4" applyNumberFormat="1" applyFont="1" applyFill="1"/>
    <xf numFmtId="10" fontId="0" fillId="0" borderId="54" xfId="0" applyNumberFormat="1" applyBorder="1"/>
    <xf numFmtId="0" fontId="20" fillId="0" borderId="54" xfId="0" applyFont="1" applyBorder="1"/>
    <xf numFmtId="0" fontId="14" fillId="0" borderId="29" xfId="0" applyFont="1" applyBorder="1"/>
    <xf numFmtId="0" fontId="0" fillId="0" borderId="31" xfId="0" applyBorder="1"/>
    <xf numFmtId="0" fontId="21" fillId="13" borderId="151" xfId="4" applyBorder="1"/>
    <xf numFmtId="0" fontId="0" fillId="0" borderId="33" xfId="0" applyBorder="1"/>
    <xf numFmtId="0" fontId="0" fillId="0" borderId="32" xfId="0" applyBorder="1"/>
    <xf numFmtId="0" fontId="14" fillId="0" borderId="32" xfId="0" applyFont="1" applyBorder="1"/>
    <xf numFmtId="10" fontId="21" fillId="13" borderId="152" xfId="4" applyNumberFormat="1" applyBorder="1"/>
    <xf numFmtId="0" fontId="0" fillId="0" borderId="36" xfId="0" applyBorder="1" applyAlignment="1"/>
    <xf numFmtId="0" fontId="11" fillId="0" borderId="0" xfId="0" applyFont="1" applyAlignment="1">
      <alignment horizontal="right"/>
    </xf>
    <xf numFmtId="0" fontId="0" fillId="0" borderId="0" xfId="0" applyAlignment="1">
      <alignment horizontal="center"/>
    </xf>
    <xf numFmtId="0" fontId="0" fillId="0" borderId="0" xfId="0"/>
    <xf numFmtId="0" fontId="42" fillId="0" borderId="0" xfId="0" applyFont="1"/>
    <xf numFmtId="0" fontId="21" fillId="13" borderId="95" xfId="4" applyAlignment="1">
      <alignment horizontal="left"/>
    </xf>
    <xf numFmtId="10" fontId="0" fillId="0" borderId="54" xfId="8" applyNumberFormat="1" applyFont="1" applyBorder="1"/>
    <xf numFmtId="10" fontId="0" fillId="0" borderId="54" xfId="8" applyNumberFormat="1" applyFont="1" applyBorder="1" applyAlignment="1"/>
    <xf numFmtId="0" fontId="26" fillId="0" borderId="54" xfId="0" applyFont="1" applyBorder="1" applyAlignment="1">
      <alignment horizontal="left"/>
    </xf>
    <xf numFmtId="0" fontId="14" fillId="0" borderId="54" xfId="0" applyFont="1" applyBorder="1"/>
    <xf numFmtId="4" fontId="0" fillId="0" borderId="54" xfId="0" applyNumberFormat="1" applyBorder="1" applyAlignment="1"/>
    <xf numFmtId="4" fontId="0" fillId="0" borderId="54" xfId="0" applyNumberFormat="1" applyBorder="1" applyAlignment="1">
      <alignment horizontal="right"/>
    </xf>
    <xf numFmtId="0" fontId="0" fillId="0" borderId="0" xfId="0"/>
    <xf numFmtId="0" fontId="0" fillId="0" borderId="0" xfId="0" applyAlignment="1">
      <alignment horizontal="center"/>
    </xf>
    <xf numFmtId="0" fontId="0" fillId="0" borderId="0" xfId="0"/>
    <xf numFmtId="0" fontId="0" fillId="0" borderId="0" xfId="0" applyBorder="1" applyAlignment="1">
      <alignment horizontal="center"/>
    </xf>
    <xf numFmtId="0" fontId="45" fillId="0" borderId="0" xfId="0" applyFont="1" applyAlignment="1">
      <alignment horizontal="right"/>
    </xf>
    <xf numFmtId="0" fontId="0" fillId="0" borderId="0" xfId="0"/>
    <xf numFmtId="0" fontId="18" fillId="14" borderId="96" xfId="5" applyBorder="1"/>
    <xf numFmtId="0" fontId="18" fillId="14" borderId="97" xfId="5" applyBorder="1"/>
    <xf numFmtId="0" fontId="18" fillId="14" borderId="98" xfId="5" applyBorder="1"/>
    <xf numFmtId="0" fontId="18" fillId="14" borderId="99" xfId="5" applyBorder="1"/>
    <xf numFmtId="0" fontId="18" fillId="14" borderId="0" xfId="5" applyBorder="1"/>
    <xf numFmtId="0" fontId="18" fillId="14" borderId="100" xfId="5" applyBorder="1"/>
    <xf numFmtId="0" fontId="18" fillId="14" borderId="101" xfId="5" applyBorder="1"/>
    <xf numFmtId="0" fontId="18" fillId="14" borderId="102" xfId="5" applyBorder="1"/>
    <xf numFmtId="0" fontId="18" fillId="14" borderId="103" xfId="5" applyBorder="1"/>
    <xf numFmtId="11" fontId="18" fillId="14" borderId="0" xfId="5" applyNumberFormat="1" applyBorder="1"/>
    <xf numFmtId="1" fontId="18" fillId="14" borderId="0" xfId="5" applyNumberFormat="1" applyBorder="1"/>
    <xf numFmtId="1" fontId="18" fillId="14" borderId="102" xfId="5" applyNumberFormat="1" applyBorder="1"/>
    <xf numFmtId="0" fontId="5" fillId="11" borderId="41" xfId="0" applyFont="1" applyFill="1" applyBorder="1" applyAlignment="1">
      <alignment horizontal="left"/>
    </xf>
    <xf numFmtId="0" fontId="5" fillId="11" borderId="42" xfId="0" applyFont="1" applyFill="1" applyBorder="1" applyAlignment="1">
      <alignment horizontal="left"/>
    </xf>
    <xf numFmtId="0" fontId="5" fillId="11" borderId="43" xfId="0" applyFont="1" applyFill="1" applyBorder="1" applyAlignment="1">
      <alignment horizontal="left"/>
    </xf>
    <xf numFmtId="0" fontId="5" fillId="11" borderId="2" xfId="0" applyFont="1" applyFill="1" applyBorder="1" applyAlignment="1">
      <alignment horizontal="left"/>
    </xf>
    <xf numFmtId="0" fontId="5" fillId="11" borderId="3" xfId="0" applyFont="1" applyFill="1" applyBorder="1" applyAlignment="1">
      <alignment horizontal="left"/>
    </xf>
    <xf numFmtId="0" fontId="0" fillId="0" borderId="0" xfId="0" applyAlignment="1">
      <alignment wrapText="1"/>
    </xf>
    <xf numFmtId="0" fontId="0" fillId="0" borderId="0" xfId="0"/>
    <xf numFmtId="0" fontId="44" fillId="0" borderId="0" xfId="0" applyFont="1"/>
    <xf numFmtId="0" fontId="26" fillId="0" borderId="0" xfId="0" quotePrefix="1" applyFont="1"/>
    <xf numFmtId="0" fontId="0" fillId="0" borderId="0" xfId="0" applyAlignment="1">
      <alignment wrapText="1"/>
    </xf>
    <xf numFmtId="0" fontId="0" fillId="0" borderId="0" xfId="0" applyAlignment="1">
      <alignment horizontal="center" vertical="center"/>
    </xf>
    <xf numFmtId="0" fontId="0" fillId="0" borderId="0" xfId="0" applyAlignment="1">
      <alignment wrapText="1"/>
    </xf>
    <xf numFmtId="0" fontId="0" fillId="0" borderId="100" xfId="0" applyBorder="1" applyAlignment="1">
      <alignment horizontal="right"/>
    </xf>
    <xf numFmtId="0" fontId="0" fillId="0" borderId="0" xfId="0" applyAlignment="1">
      <alignment horizontal="center"/>
    </xf>
    <xf numFmtId="0" fontId="0" fillId="0" borderId="0" xfId="0"/>
    <xf numFmtId="0" fontId="0" fillId="0" borderId="0" xfId="0" applyAlignment="1"/>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wrapText="1"/>
    </xf>
    <xf numFmtId="0" fontId="0" fillId="0" borderId="0" xfId="0"/>
    <xf numFmtId="4" fontId="0" fillId="0" borderId="0" xfId="0" applyNumberFormat="1" applyAlignment="1">
      <alignment horizontal="center"/>
    </xf>
    <xf numFmtId="0" fontId="0" fillId="0" borderId="0" xfId="0" applyAlignment="1"/>
    <xf numFmtId="0" fontId="0" fillId="22" borderId="0" xfId="0" applyFill="1"/>
    <xf numFmtId="0" fontId="0" fillId="0" borderId="0" xfId="0" applyAlignment="1">
      <alignment horizontal="center"/>
    </xf>
    <xf numFmtId="0" fontId="0" fillId="0" borderId="0" xfId="0"/>
    <xf numFmtId="3" fontId="0" fillId="0" borderId="0" xfId="0" applyNumberFormat="1" applyAlignment="1">
      <alignment horizontal="center"/>
    </xf>
    <xf numFmtId="0" fontId="0" fillId="0" borderId="0" xfId="0" applyAlignment="1">
      <alignment horizontal="center" vertical="center"/>
    </xf>
    <xf numFmtId="167" fontId="0" fillId="0" borderId="0" xfId="0" applyNumberFormat="1" applyAlignment="1">
      <alignment horizontal="center"/>
    </xf>
    <xf numFmtId="0" fontId="0" fillId="0" borderId="0" xfId="0" applyAlignment="1">
      <alignment horizontal="center"/>
    </xf>
    <xf numFmtId="0" fontId="0" fillId="0" borderId="0" xfId="0" applyAlignment="1">
      <alignment horizontal="center" wrapText="1"/>
    </xf>
    <xf numFmtId="0" fontId="0" fillId="0" borderId="0" xfId="0"/>
    <xf numFmtId="0" fontId="0" fillId="0" borderId="0" xfId="0" applyAlignment="1"/>
    <xf numFmtId="3" fontId="0" fillId="0" borderId="0" xfId="0" applyNumberFormat="1" applyAlignment="1">
      <alignment horizontal="center"/>
    </xf>
    <xf numFmtId="4" fontId="0" fillId="0" borderId="0" xfId="0" applyNumberFormat="1" applyAlignment="1">
      <alignment horizontal="center" vertical="center"/>
    </xf>
    <xf numFmtId="164" fontId="21" fillId="13" borderId="95" xfId="4" applyNumberFormat="1"/>
    <xf numFmtId="0" fontId="0" fillId="0" borderId="0" xfId="0" applyAlignment="1">
      <alignment horizontal="left" vertical="top" wrapText="1"/>
    </xf>
    <xf numFmtId="0" fontId="21" fillId="13" borderId="153" xfId="4" applyBorder="1" applyAlignment="1">
      <alignment horizontal="center"/>
    </xf>
    <xf numFmtId="0" fontId="21" fillId="13" borderId="0" xfId="4" applyBorder="1" applyAlignment="1">
      <alignment horizontal="center"/>
    </xf>
    <xf numFmtId="0" fontId="0" fillId="0" borderId="0" xfId="0" applyFill="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left" wrapText="1"/>
    </xf>
    <xf numFmtId="3" fontId="0" fillId="0" borderId="15" xfId="0" applyNumberFormat="1" applyBorder="1" applyAlignment="1">
      <alignment horizontal="center" vertical="center"/>
    </xf>
    <xf numFmtId="2" fontId="0" fillId="0" borderId="15" xfId="0" applyNumberFormat="1" applyBorder="1" applyAlignment="1">
      <alignment horizontal="center" vertical="center"/>
    </xf>
    <xf numFmtId="0" fontId="0" fillId="0" borderId="15" xfId="0" applyBorder="1" applyAlignment="1">
      <alignment horizontal="center" vertical="center"/>
    </xf>
    <xf numFmtId="0" fontId="13" fillId="17" borderId="59" xfId="0" applyFont="1" applyFill="1" applyBorder="1" applyAlignment="1">
      <alignment horizontal="center"/>
    </xf>
    <xf numFmtId="0" fontId="0" fillId="0" borderId="15" xfId="0" applyBorder="1" applyAlignment="1">
      <alignment horizontal="center" vertical="center" wrapText="1"/>
    </xf>
    <xf numFmtId="4" fontId="0" fillId="0" borderId="15" xfId="0" applyNumberFormat="1" applyBorder="1" applyAlignment="1">
      <alignment horizontal="center" vertical="center"/>
    </xf>
    <xf numFmtId="2" fontId="0" fillId="0" borderId="60" xfId="0" applyNumberFormat="1" applyBorder="1" applyAlignment="1">
      <alignment horizontal="center" vertical="center"/>
    </xf>
    <xf numFmtId="0" fontId="0" fillId="0" borderId="60" xfId="0" applyBorder="1" applyAlignment="1">
      <alignment horizontal="center" vertical="center"/>
    </xf>
    <xf numFmtId="4" fontId="0" fillId="0" borderId="60" xfId="0" applyNumberFormat="1" applyBorder="1" applyAlignment="1">
      <alignment horizontal="center" vertical="center"/>
    </xf>
    <xf numFmtId="3" fontId="0" fillId="0" borderId="60" xfId="0" applyNumberFormat="1" applyBorder="1" applyAlignment="1">
      <alignment horizontal="center" vertical="center"/>
    </xf>
    <xf numFmtId="11" fontId="0" fillId="0" borderId="60" xfId="0" applyNumberFormat="1" applyBorder="1" applyAlignment="1">
      <alignment horizontal="center" vertical="center"/>
    </xf>
    <xf numFmtId="11" fontId="0" fillId="0" borderId="15" xfId="0" applyNumberFormat="1" applyBorder="1" applyAlignment="1">
      <alignment horizontal="center" vertical="center"/>
    </xf>
    <xf numFmtId="1" fontId="0" fillId="0" borderId="60" xfId="0" applyNumberFormat="1" applyBorder="1" applyAlignment="1">
      <alignment horizontal="center" vertical="center"/>
    </xf>
    <xf numFmtId="1" fontId="0" fillId="0" borderId="15" xfId="0" applyNumberFormat="1" applyBorder="1" applyAlignment="1">
      <alignment horizontal="center" vertical="center"/>
    </xf>
    <xf numFmtId="0" fontId="0" fillId="0" borderId="54" xfId="0" applyBorder="1" applyAlignment="1">
      <alignment horizontal="center"/>
    </xf>
    <xf numFmtId="0" fontId="0" fillId="0" borderId="54" xfId="0" applyBorder="1" applyAlignment="1">
      <alignment horizontal="center" wrapText="1"/>
    </xf>
    <xf numFmtId="0" fontId="33" fillId="17" borderId="54" xfId="0" applyFont="1" applyFill="1" applyBorder="1" applyAlignment="1">
      <alignment horizontal="center" wrapText="1"/>
    </xf>
    <xf numFmtId="0" fontId="0" fillId="0" borderId="0" xfId="0" applyAlignment="1">
      <alignment horizontal="center" wrapText="1"/>
    </xf>
    <xf numFmtId="0" fontId="33" fillId="17" borderId="54" xfId="0" applyFont="1" applyFill="1" applyBorder="1" applyAlignment="1">
      <alignment horizontal="center"/>
    </xf>
    <xf numFmtId="11" fontId="0" fillId="0" borderId="0" xfId="0" applyNumberFormat="1" applyAlignment="1">
      <alignment horizontal="center"/>
    </xf>
    <xf numFmtId="11" fontId="0" fillId="0" borderId="0" xfId="0" applyNumberFormat="1" applyAlignment="1">
      <alignment horizontal="center" wrapText="1"/>
    </xf>
    <xf numFmtId="11" fontId="20" fillId="0" borderId="0" xfId="0" applyNumberFormat="1" applyFont="1" applyAlignment="1">
      <alignment horizontal="center"/>
    </xf>
    <xf numFmtId="0" fontId="20" fillId="0" borderId="0" xfId="0" applyFont="1" applyAlignment="1">
      <alignment horizontal="center"/>
    </xf>
    <xf numFmtId="0" fontId="0" fillId="0" borderId="0" xfId="0" applyAlignment="1">
      <alignment wrapText="1"/>
    </xf>
    <xf numFmtId="4" fontId="0" fillId="0" borderId="0" xfId="0" applyNumberFormat="1" applyAlignment="1">
      <alignment horizontal="center"/>
    </xf>
    <xf numFmtId="0" fontId="0" fillId="0" borderId="0" xfId="0" applyAlignment="1"/>
    <xf numFmtId="0" fontId="0" fillId="0" borderId="0" xfId="0"/>
    <xf numFmtId="4" fontId="0" fillId="0" borderId="54" xfId="0" applyNumberFormat="1" applyBorder="1" applyAlignment="1">
      <alignment horizontal="center"/>
    </xf>
    <xf numFmtId="0" fontId="0" fillId="0" borderId="69" xfId="0" applyBorder="1" applyAlignment="1">
      <alignment horizontal="center"/>
    </xf>
    <xf numFmtId="0" fontId="0" fillId="0" borderId="67" xfId="0" applyBorder="1" applyAlignment="1">
      <alignment horizontal="center"/>
    </xf>
    <xf numFmtId="0" fontId="0" fillId="0" borderId="64" xfId="0" applyBorder="1" applyAlignment="1">
      <alignment horizontal="center" wrapText="1"/>
    </xf>
    <xf numFmtId="0" fontId="0" fillId="0" borderId="65" xfId="0" applyBorder="1" applyAlignment="1">
      <alignment horizontal="center" wrapText="1"/>
    </xf>
    <xf numFmtId="0" fontId="0" fillId="0" borderId="67" xfId="0" applyBorder="1" applyAlignment="1">
      <alignment horizontal="center" wrapText="1"/>
    </xf>
    <xf numFmtId="0" fontId="0" fillId="0" borderId="66" xfId="0" applyBorder="1" applyAlignment="1">
      <alignment horizontal="center" wrapText="1"/>
    </xf>
    <xf numFmtId="0" fontId="0" fillId="0" borderId="63" xfId="0" applyBorder="1" applyAlignment="1">
      <alignment horizontal="center" wrapText="1"/>
    </xf>
    <xf numFmtId="0" fontId="0" fillId="0" borderId="8" xfId="0" applyBorder="1" applyAlignment="1">
      <alignment horizontal="center"/>
    </xf>
    <xf numFmtId="0" fontId="0" fillId="0" borderId="8" xfId="0" applyBorder="1" applyAlignment="1">
      <alignment horizontal="center" wrapText="1"/>
    </xf>
    <xf numFmtId="0" fontId="0" fillId="0" borderId="54" xfId="0" applyBorder="1" applyAlignment="1">
      <alignment horizontal="left"/>
    </xf>
    <xf numFmtId="0" fontId="0" fillId="0" borderId="64" xfId="0" applyBorder="1" applyAlignment="1">
      <alignment horizontal="center"/>
    </xf>
    <xf numFmtId="0" fontId="13" fillId="0" borderId="17" xfId="0" applyFont="1" applyBorder="1" applyAlignment="1">
      <alignment horizontal="center"/>
    </xf>
    <xf numFmtId="0" fontId="13" fillId="0" borderId="19" xfId="0" applyFont="1" applyBorder="1" applyAlignment="1">
      <alignment horizontal="center"/>
    </xf>
    <xf numFmtId="0" fontId="13" fillId="0" borderId="21" xfId="0" applyFont="1" applyBorder="1" applyAlignment="1">
      <alignment horizontal="center"/>
    </xf>
    <xf numFmtId="0" fontId="13" fillId="0" borderId="18" xfId="0" applyFont="1" applyBorder="1" applyAlignment="1">
      <alignment horizontal="center"/>
    </xf>
    <xf numFmtId="0" fontId="13" fillId="0" borderId="20" xfId="0" applyFont="1" applyBorder="1" applyAlignment="1">
      <alignment horizontal="center"/>
    </xf>
    <xf numFmtId="0" fontId="13" fillId="0" borderId="22" xfId="0" applyFont="1" applyBorder="1" applyAlignment="1">
      <alignment horizontal="center"/>
    </xf>
    <xf numFmtId="0" fontId="32" fillId="0" borderId="8" xfId="0" applyFont="1" applyBorder="1" applyAlignment="1">
      <alignment vertical="center"/>
    </xf>
    <xf numFmtId="0" fontId="0" fillId="0" borderId="55" xfId="0" applyBorder="1" applyAlignment="1">
      <alignment horizontal="center" wrapText="1"/>
    </xf>
    <xf numFmtId="0" fontId="0" fillId="0" borderId="53" xfId="0" applyBorder="1" applyAlignment="1">
      <alignment horizontal="center"/>
    </xf>
    <xf numFmtId="0" fontId="0" fillId="0" borderId="50" xfId="0" applyBorder="1" applyAlignment="1">
      <alignment horizontal="center" wrapText="1"/>
    </xf>
    <xf numFmtId="0" fontId="0" fillId="0" borderId="53" xfId="0" applyBorder="1" applyAlignment="1">
      <alignment horizontal="center" wrapText="1"/>
    </xf>
    <xf numFmtId="0" fontId="0" fillId="0" borderId="51" xfId="0" applyBorder="1" applyAlignment="1">
      <alignment horizontal="center" wrapText="1"/>
    </xf>
    <xf numFmtId="0" fontId="0" fillId="0" borderId="52" xfId="0" applyBorder="1" applyAlignment="1">
      <alignment horizontal="center"/>
    </xf>
    <xf numFmtId="0" fontId="0" fillId="0" borderId="55" xfId="0" applyBorder="1" applyAlignment="1">
      <alignment horizontal="center"/>
    </xf>
    <xf numFmtId="0" fontId="0" fillId="0" borderId="57" xfId="0" applyBorder="1" applyAlignment="1">
      <alignment horizontal="center" wrapText="1"/>
    </xf>
    <xf numFmtId="0" fontId="0" fillId="0" borderId="56" xfId="0" applyBorder="1" applyAlignment="1">
      <alignment horizontal="center" wrapText="1"/>
    </xf>
    <xf numFmtId="2" fontId="0" fillId="0" borderId="53" xfId="0" applyNumberFormat="1" applyBorder="1" applyAlignment="1">
      <alignment horizontal="center"/>
    </xf>
    <xf numFmtId="0" fontId="0" fillId="0" borderId="58" xfId="0" applyBorder="1" applyAlignment="1">
      <alignment horizontal="center" wrapText="1"/>
    </xf>
    <xf numFmtId="0" fontId="26" fillId="0" borderId="54" xfId="0" applyFont="1" applyBorder="1" applyAlignment="1">
      <alignment horizontal="center"/>
    </xf>
    <xf numFmtId="0" fontId="44" fillId="0" borderId="0" xfId="0" applyFont="1" applyAlignment="1">
      <alignment horizontal="center"/>
    </xf>
    <xf numFmtId="0" fontId="0" fillId="0" borderId="134" xfId="0" applyBorder="1" applyAlignment="1">
      <alignment horizontal="center"/>
    </xf>
    <xf numFmtId="0" fontId="0" fillId="0" borderId="0" xfId="0" applyBorder="1" applyAlignment="1">
      <alignment horizontal="center"/>
    </xf>
    <xf numFmtId="3" fontId="0" fillId="0" borderId="0" xfId="0" applyNumberFormat="1" applyAlignment="1">
      <alignment horizontal="center"/>
    </xf>
    <xf numFmtId="167" fontId="0" fillId="0" borderId="0" xfId="0" applyNumberFormat="1" applyAlignment="1">
      <alignment horizontal="center"/>
    </xf>
    <xf numFmtId="0" fontId="0" fillId="0" borderId="0" xfId="0" applyAlignment="1">
      <alignment horizontal="center" vertical="center" wrapText="1"/>
    </xf>
    <xf numFmtId="3" fontId="0" fillId="0" borderId="0" xfId="0" applyNumberFormat="1" applyAlignment="1">
      <alignment horizontal="center" wrapText="1"/>
    </xf>
    <xf numFmtId="0" fontId="38" fillId="0" borderId="0" xfId="0" applyFont="1" applyAlignment="1">
      <alignment horizontal="center"/>
    </xf>
    <xf numFmtId="1" fontId="0" fillId="0" borderId="0" xfId="0" applyNumberFormat="1" applyAlignment="1">
      <alignment horizontal="center"/>
    </xf>
    <xf numFmtId="0" fontId="0" fillId="0" borderId="154" xfId="0" applyBorder="1" applyAlignment="1">
      <alignment horizontal="center"/>
    </xf>
    <xf numFmtId="10" fontId="0" fillId="0" borderId="54" xfId="8" applyNumberFormat="1" applyFont="1" applyBorder="1" applyAlignment="1">
      <alignment horizontal="right"/>
    </xf>
    <xf numFmtId="4" fontId="0" fillId="0" borderId="54" xfId="0" applyNumberFormat="1" applyBorder="1" applyAlignment="1">
      <alignment horizontal="right"/>
    </xf>
    <xf numFmtId="0" fontId="0" fillId="0" borderId="0" xfId="0" quotePrefix="1" applyAlignment="1">
      <alignment horizontal="center" wrapText="1"/>
    </xf>
    <xf numFmtId="0" fontId="30" fillId="0" borderId="0" xfId="0" applyFont="1" applyAlignment="1">
      <alignment horizontal="left"/>
    </xf>
    <xf numFmtId="0" fontId="20" fillId="0" borderId="0" xfId="0" applyFont="1" applyAlignment="1">
      <alignment horizontal="right"/>
    </xf>
    <xf numFmtId="0" fontId="0" fillId="0" borderId="37" xfId="0" applyBorder="1" applyAlignment="1">
      <alignment horizontal="center"/>
    </xf>
    <xf numFmtId="0" fontId="0" fillId="0" borderId="0" xfId="0" applyAlignment="1">
      <alignment horizontal="right" vertical="center"/>
    </xf>
    <xf numFmtId="0" fontId="20" fillId="0" borderId="29" xfId="0" applyFont="1" applyBorder="1" applyAlignment="1">
      <alignment horizontal="center"/>
    </xf>
    <xf numFmtId="0" fontId="20" fillId="0" borderId="31" xfId="0" applyFont="1" applyBorder="1" applyAlignment="1">
      <alignment horizontal="center"/>
    </xf>
    <xf numFmtId="0" fontId="20" fillId="0" borderId="32" xfId="0" applyFont="1" applyBorder="1" applyAlignment="1">
      <alignment horizontal="center"/>
    </xf>
    <xf numFmtId="0" fontId="20" fillId="0" borderId="33" xfId="0" applyFont="1" applyBorder="1" applyAlignment="1">
      <alignment horizontal="center"/>
    </xf>
    <xf numFmtId="0" fontId="20" fillId="0" borderId="34" xfId="0" applyFont="1" applyBorder="1" applyAlignment="1">
      <alignment horizontal="center"/>
    </xf>
    <xf numFmtId="0" fontId="20" fillId="0" borderId="36" xfId="0" applyFont="1" applyBorder="1" applyAlignment="1">
      <alignment horizontal="center"/>
    </xf>
    <xf numFmtId="0" fontId="13" fillId="17" borderId="76" xfId="0" applyFont="1" applyFill="1" applyBorder="1" applyAlignment="1">
      <alignment horizontal="center" vertical="center" wrapText="1"/>
    </xf>
    <xf numFmtId="0" fontId="13" fillId="17" borderId="78" xfId="0" applyFont="1" applyFill="1" applyBorder="1" applyAlignment="1">
      <alignment horizontal="center" vertical="center" wrapText="1"/>
    </xf>
    <xf numFmtId="0" fontId="13" fillId="17" borderId="93" xfId="0" applyFont="1" applyFill="1" applyBorder="1" applyAlignment="1">
      <alignment horizontal="center" vertical="center" wrapText="1"/>
    </xf>
    <xf numFmtId="0" fontId="13" fillId="17" borderId="94" xfId="0" applyFont="1" applyFill="1" applyBorder="1" applyAlignment="1">
      <alignment horizontal="center" vertical="center" wrapText="1"/>
    </xf>
    <xf numFmtId="0" fontId="13" fillId="17" borderId="0" xfId="0" applyFont="1" applyFill="1" applyBorder="1" applyAlignment="1">
      <alignment horizontal="center"/>
    </xf>
    <xf numFmtId="0" fontId="13" fillId="17" borderId="85" xfId="0" applyFont="1" applyFill="1" applyBorder="1" applyAlignment="1">
      <alignment horizontal="center"/>
    </xf>
    <xf numFmtId="0" fontId="13" fillId="17" borderId="37" xfId="0" applyFont="1" applyFill="1" applyBorder="1" applyAlignment="1">
      <alignment horizontal="left"/>
    </xf>
    <xf numFmtId="0" fontId="13" fillId="17" borderId="0" xfId="0" applyFont="1" applyFill="1" applyBorder="1" applyAlignment="1">
      <alignment horizontal="left"/>
    </xf>
    <xf numFmtId="0" fontId="13" fillId="18" borderId="82" xfId="0" applyFont="1" applyFill="1" applyBorder="1" applyAlignment="1">
      <alignment horizontal="center"/>
    </xf>
    <xf numFmtId="0" fontId="13" fillId="18" borderId="24" xfId="0" applyFont="1" applyFill="1" applyBorder="1" applyAlignment="1">
      <alignment horizontal="center"/>
    </xf>
    <xf numFmtId="0" fontId="13" fillId="17" borderId="77" xfId="0" applyFont="1" applyFill="1" applyBorder="1" applyAlignment="1">
      <alignment horizontal="center" vertical="center"/>
    </xf>
    <xf numFmtId="0" fontId="13" fillId="17" borderId="80" xfId="0" applyFont="1" applyFill="1" applyBorder="1" applyAlignment="1">
      <alignment horizontal="center" vertical="center"/>
    </xf>
    <xf numFmtId="0" fontId="13" fillId="17" borderId="77" xfId="0" applyFont="1" applyFill="1" applyBorder="1" applyAlignment="1">
      <alignment horizontal="center" vertical="center" wrapText="1"/>
    </xf>
    <xf numFmtId="0" fontId="13" fillId="17" borderId="86" xfId="0" applyFont="1" applyFill="1" applyBorder="1" applyAlignment="1">
      <alignment horizontal="left" vertical="center"/>
    </xf>
    <xf numFmtId="0" fontId="13" fillId="17" borderId="87" xfId="0" applyFont="1" applyFill="1" applyBorder="1" applyAlignment="1">
      <alignment horizontal="left" vertical="center"/>
    </xf>
    <xf numFmtId="0" fontId="0" fillId="0" borderId="54" xfId="0" applyBorder="1" applyAlignment="1">
      <alignment horizontal="left" vertical="center"/>
    </xf>
    <xf numFmtId="0" fontId="0" fillId="0" borderId="54" xfId="0" applyBorder="1" applyAlignment="1">
      <alignment horizontal="left" vertical="center" wrapText="1"/>
    </xf>
    <xf numFmtId="0" fontId="13" fillId="17" borderId="88" xfId="0" applyFont="1" applyFill="1" applyBorder="1" applyAlignment="1">
      <alignment horizontal="left" vertical="center"/>
    </xf>
    <xf numFmtId="0" fontId="20" fillId="0" borderId="30" xfId="0" applyFont="1" applyBorder="1" applyAlignment="1">
      <alignment horizontal="center"/>
    </xf>
    <xf numFmtId="0" fontId="20" fillId="0" borderId="0" xfId="0" applyFont="1" applyBorder="1" applyAlignment="1">
      <alignment horizontal="center"/>
    </xf>
    <xf numFmtId="0" fontId="24" fillId="0" borderId="34" xfId="0" applyFont="1" applyBorder="1" applyAlignment="1">
      <alignment horizontal="center"/>
    </xf>
    <xf numFmtId="0" fontId="24" fillId="0" borderId="35" xfId="0" applyFont="1" applyBorder="1" applyAlignment="1">
      <alignment horizontal="center"/>
    </xf>
    <xf numFmtId="0" fontId="24" fillId="0" borderId="36" xfId="0" applyFont="1" applyBorder="1" applyAlignment="1">
      <alignment horizontal="center"/>
    </xf>
    <xf numFmtId="0" fontId="29" fillId="0" borderId="90" xfId="0" applyFont="1" applyBorder="1" applyAlignment="1">
      <alignment horizontal="center"/>
    </xf>
    <xf numFmtId="0" fontId="29" fillId="0" borderId="92" xfId="0" applyFont="1" applyBorder="1" applyAlignment="1">
      <alignment horizontal="center"/>
    </xf>
    <xf numFmtId="0" fontId="29" fillId="0" borderId="91" xfId="0" applyFont="1" applyBorder="1" applyAlignment="1">
      <alignment horizontal="center"/>
    </xf>
    <xf numFmtId="0" fontId="20" fillId="0" borderId="90" xfId="0" applyFont="1" applyBorder="1" applyAlignment="1">
      <alignment horizontal="center"/>
    </xf>
    <xf numFmtId="0" fontId="20" fillId="0" borderId="91" xfId="0" applyFont="1" applyBorder="1" applyAlignment="1">
      <alignment horizontal="center"/>
    </xf>
    <xf numFmtId="0" fontId="29" fillId="0" borderId="0" xfId="0" applyFont="1" applyAlignment="1">
      <alignment horizontal="left" indent="7"/>
    </xf>
    <xf numFmtId="0" fontId="29" fillId="0" borderId="34" xfId="0" applyFont="1" applyBorder="1" applyAlignment="1">
      <alignment horizontal="center"/>
    </xf>
    <xf numFmtId="0" fontId="29" fillId="0" borderId="35" xfId="0" applyFont="1" applyBorder="1" applyAlignment="1">
      <alignment horizontal="center"/>
    </xf>
    <xf numFmtId="0" fontId="29" fillId="0" borderId="36" xfId="0" applyFont="1" applyBorder="1" applyAlignment="1">
      <alignment horizontal="center"/>
    </xf>
    <xf numFmtId="0" fontId="29" fillId="0" borderId="29" xfId="0" applyFont="1" applyBorder="1" applyAlignment="1">
      <alignment horizontal="center"/>
    </xf>
    <xf numFmtId="0" fontId="29" fillId="0" borderId="30" xfId="0" applyFont="1" applyBorder="1" applyAlignment="1">
      <alignment horizontal="center"/>
    </xf>
    <xf numFmtId="0" fontId="29" fillId="0" borderId="31" xfId="0" applyFont="1" applyBorder="1" applyAlignment="1">
      <alignment horizontal="center"/>
    </xf>
    <xf numFmtId="0" fontId="44" fillId="0" borderId="0" xfId="0" applyFont="1" applyAlignment="1">
      <alignment horizontal="center" wrapText="1"/>
    </xf>
    <xf numFmtId="0" fontId="0" fillId="0" borderId="113" xfId="0" applyBorder="1" applyAlignment="1">
      <alignment horizontal="center"/>
    </xf>
    <xf numFmtId="0" fontId="0" fillId="0" borderId="100" xfId="0" applyBorder="1" applyAlignment="1">
      <alignment horizontal="center"/>
    </xf>
    <xf numFmtId="0" fontId="13" fillId="17" borderId="0" xfId="0" applyFont="1" applyFill="1" applyAlignment="1">
      <alignment horizontal="center" wrapText="1"/>
    </xf>
    <xf numFmtId="0" fontId="0" fillId="0" borderId="147" xfId="0" applyBorder="1" applyAlignment="1">
      <alignment horizontal="center" wrapText="1"/>
    </xf>
    <xf numFmtId="0" fontId="0" fillId="0" borderId="148" xfId="0" applyBorder="1" applyAlignment="1">
      <alignment horizontal="center" wrapText="1"/>
    </xf>
    <xf numFmtId="0" fontId="21" fillId="13" borderId="106" xfId="4" applyBorder="1" applyAlignment="1">
      <alignment horizontal="center"/>
    </xf>
    <xf numFmtId="0" fontId="21" fillId="13" borderId="143" xfId="4" applyBorder="1" applyAlignment="1">
      <alignment horizontal="center"/>
    </xf>
    <xf numFmtId="0" fontId="0" fillId="0" borderId="14" xfId="0" applyBorder="1" applyAlignment="1">
      <alignment horizontal="center" wrapText="1"/>
    </xf>
    <xf numFmtId="0" fontId="0" fillId="0" borderId="75" xfId="0" applyBorder="1" applyAlignment="1">
      <alignment horizontal="center" wrapText="1"/>
    </xf>
    <xf numFmtId="4" fontId="0" fillId="0" borderId="54" xfId="0" applyNumberFormat="1" applyBorder="1" applyAlignment="1">
      <alignment horizontal="center" wrapText="1"/>
    </xf>
    <xf numFmtId="4" fontId="0" fillId="0" borderId="14" xfId="0" applyNumberFormat="1" applyBorder="1" applyAlignment="1">
      <alignment horizontal="center" wrapText="1"/>
    </xf>
    <xf numFmtId="4" fontId="0" fillId="0" borderId="75" xfId="0" applyNumberFormat="1" applyBorder="1" applyAlignment="1">
      <alignment horizontal="center" wrapText="1"/>
    </xf>
    <xf numFmtId="0" fontId="0" fillId="0" borderId="142"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3" fontId="0" fillId="0" borderId="101" xfId="0" applyNumberFormat="1" applyBorder="1" applyAlignment="1">
      <alignment horizontal="center"/>
    </xf>
    <xf numFmtId="3" fontId="0" fillId="0" borderId="102" xfId="0" applyNumberFormat="1" applyBorder="1" applyAlignment="1">
      <alignment horizontal="center"/>
    </xf>
    <xf numFmtId="0" fontId="0" fillId="0" borderId="101" xfId="0" applyBorder="1" applyAlignment="1">
      <alignment horizontal="center"/>
    </xf>
    <xf numFmtId="0" fontId="0" fillId="0" borderId="102" xfId="0" applyBorder="1" applyAlignment="1">
      <alignment horizontal="center"/>
    </xf>
    <xf numFmtId="0" fontId="0" fillId="0" borderId="96" xfId="0" applyBorder="1" applyAlignment="1">
      <alignment horizontal="center" wrapText="1"/>
    </xf>
    <xf numFmtId="0" fontId="0" fillId="0" borderId="101" xfId="0" applyBorder="1" applyAlignment="1">
      <alignment horizontal="center" wrapText="1"/>
    </xf>
    <xf numFmtId="0" fontId="21" fillId="13" borderId="131" xfId="4" applyBorder="1" applyAlignment="1">
      <alignment horizontal="center"/>
    </xf>
    <xf numFmtId="0" fontId="21" fillId="13" borderId="132" xfId="4" applyBorder="1" applyAlignment="1">
      <alignment horizontal="center"/>
    </xf>
    <xf numFmtId="0" fontId="21" fillId="13" borderId="133" xfId="4" applyBorder="1" applyAlignment="1">
      <alignment horizontal="center"/>
    </xf>
    <xf numFmtId="0" fontId="21" fillId="13" borderId="95" xfId="4" applyAlignment="1">
      <alignment horizontal="center"/>
    </xf>
    <xf numFmtId="0" fontId="0" fillId="0" borderId="96" xfId="0" applyBorder="1" applyAlignment="1">
      <alignment horizontal="center" vertical="center" wrapText="1"/>
    </xf>
    <xf numFmtId="0" fontId="0" fillId="0" borderId="99" xfId="0" applyBorder="1" applyAlignment="1">
      <alignment horizontal="center" vertical="center" wrapText="1"/>
    </xf>
    <xf numFmtId="0" fontId="0" fillId="0" borderId="101" xfId="0" applyBorder="1" applyAlignment="1">
      <alignment horizontal="center" vertical="center" wrapText="1"/>
    </xf>
    <xf numFmtId="2" fontId="0" fillId="0" borderId="54" xfId="0" applyNumberFormat="1" applyBorder="1" applyAlignment="1">
      <alignment horizontal="center"/>
    </xf>
    <xf numFmtId="9" fontId="0" fillId="0" borderId="15" xfId="0" applyNumberFormat="1" applyBorder="1" applyAlignment="1">
      <alignment horizontal="left" vertical="center"/>
    </xf>
    <xf numFmtId="0" fontId="39" fillId="0" borderId="90" xfId="0" applyFont="1" applyBorder="1" applyAlignment="1">
      <alignment horizontal="center"/>
    </xf>
    <xf numFmtId="0" fontId="39" fillId="0" borderId="92" xfId="0" applyFont="1" applyBorder="1" applyAlignment="1">
      <alignment horizontal="center"/>
    </xf>
    <xf numFmtId="0" fontId="39" fillId="0" borderId="91" xfId="0" applyFont="1" applyBorder="1" applyAlignment="1">
      <alignment horizontal="center"/>
    </xf>
    <xf numFmtId="3" fontId="0" fillId="0" borderId="54" xfId="0" applyNumberFormat="1" applyBorder="1" applyAlignment="1">
      <alignment horizontal="right"/>
    </xf>
    <xf numFmtId="0" fontId="46" fillId="0" borderId="0" xfId="0" applyFont="1" applyAlignment="1">
      <alignment horizontal="center"/>
    </xf>
    <xf numFmtId="0" fontId="13" fillId="17" borderId="87" xfId="0" applyFont="1" applyFill="1" applyBorder="1" applyAlignment="1">
      <alignment horizontal="center" wrapText="1"/>
    </xf>
    <xf numFmtId="0" fontId="13" fillId="17" borderId="88" xfId="0" applyFont="1" applyFill="1" applyBorder="1" applyAlignment="1">
      <alignment horizontal="center" wrapText="1"/>
    </xf>
    <xf numFmtId="0" fontId="0" fillId="0" borderId="0" xfId="0" applyBorder="1" applyAlignment="1">
      <alignment horizontal="center" vertical="center" wrapText="1"/>
    </xf>
    <xf numFmtId="0" fontId="13" fillId="17" borderId="86" xfId="0" applyFont="1" applyFill="1" applyBorder="1" applyAlignment="1">
      <alignment horizontal="center" wrapText="1"/>
    </xf>
    <xf numFmtId="0" fontId="17" fillId="0" borderId="0" xfId="0" applyFont="1" applyAlignment="1">
      <alignment horizontal="center"/>
    </xf>
    <xf numFmtId="0" fontId="0" fillId="0" borderId="0" xfId="0" applyAlignment="1">
      <alignment horizontal="center" vertical="center"/>
    </xf>
  </cellXfs>
  <cellStyles count="12">
    <cellStyle name="Comma" xfId="3" builtinId="3"/>
    <cellStyle name="Content" xfId="5" xr:uid="{2A99339A-E76C-45AB-AEBB-F58A418293A6}"/>
    <cellStyle name="Currency" xfId="9" builtinId="4"/>
    <cellStyle name="Header" xfId="1" xr:uid="{A15063CD-C1C7-43C4-80A9-4CC0FB33EED6}"/>
    <cellStyle name="Hyperlink" xfId="2" builtinId="8"/>
    <cellStyle name="Hyperlink 2" xfId="11" xr:uid="{B30369E3-8B9E-4A73-A1F3-63199A8648FF}"/>
    <cellStyle name="Inputing" xfId="4" xr:uid="{70A86994-F93A-430F-9697-9CF3076E1CEC}"/>
    <cellStyle name="Normal" xfId="0" builtinId="0"/>
    <cellStyle name="Normal 2" xfId="7" xr:uid="{5ACE936A-5A8B-4399-939A-1700BF7FECEE}"/>
    <cellStyle name="Normal 3" xfId="10" xr:uid="{CFFFA3A0-63C2-4F80-97E4-500E5896621E}"/>
    <cellStyle name="Outputting" xfId="6" xr:uid="{5D962836-DB4A-4A5D-AD5C-79EE8D4D461B}"/>
    <cellStyle name="Percent" xfId="8" builtinId="5"/>
  </cellStyles>
  <dxfs count="40">
    <dxf>
      <numFmt numFmtId="4" formatCode="#,##0.00"/>
    </dxf>
    <dxf>
      <numFmt numFmtId="0" formatCode="General"/>
    </dxf>
    <dxf>
      <numFmt numFmtId="4" formatCode="#,##0.00"/>
    </dxf>
    <dxf>
      <numFmt numFmtId="13" formatCode="0%"/>
    </dxf>
    <dxf>
      <numFmt numFmtId="3" formatCode="#,##0"/>
    </dxf>
    <dxf>
      <numFmt numFmtId="3" formatCode="#,##0"/>
    </dxf>
    <dxf>
      <numFmt numFmtId="3" formatCode="#,##0"/>
    </dxf>
    <dxf>
      <numFmt numFmtId="3" formatCode="#,##0"/>
    </dxf>
    <dxf>
      <numFmt numFmtId="3" formatCode="#,##0"/>
    </dxf>
    <dxf>
      <numFmt numFmtId="173" formatCode="0.0%"/>
    </dxf>
    <dxf>
      <numFmt numFmtId="4" formatCode="#,##0.00"/>
    </dxf>
    <dxf>
      <numFmt numFmtId="3" formatCode="#,##0"/>
    </dxf>
    <dxf>
      <alignment horizontal="general" vertical="bottom" textRotation="0" wrapText="1" indent="0" justifyLastLine="0" shrinkToFit="0" readingOrder="0"/>
    </dxf>
    <dxf>
      <numFmt numFmtId="2" formatCode="0.00"/>
    </dxf>
    <dxf>
      <numFmt numFmtId="2" formatCode="0.00"/>
    </dxf>
    <dxf>
      <numFmt numFmtId="2" formatCode="0.00"/>
    </dxf>
    <dxf>
      <numFmt numFmtId="2" formatCode="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border diagonalUp="0" diagonalDown="0">
        <left style="thin">
          <color auto="1"/>
        </left>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numFmt numFmtId="3" formatCode="#,##0"/>
      <border diagonalUp="0" diagonalDown="0">
        <left style="thin">
          <color auto="1"/>
        </left>
        <right style="thin">
          <color auto="1"/>
        </right>
        <top style="thin">
          <color auto="1"/>
        </top>
        <bottom style="thin">
          <color auto="1"/>
        </bottom>
        <vertical/>
        <horizontal/>
      </border>
    </dxf>
    <dxf>
      <numFmt numFmtId="3" formatCode="#,##0"/>
      <border diagonalUp="0" diagonalDown="0">
        <left style="thin">
          <color auto="1"/>
        </left>
        <right style="thin">
          <color auto="1"/>
        </right>
        <top style="thin">
          <color auto="1"/>
        </top>
        <bottom style="thin">
          <color auto="1"/>
        </bottom>
        <vertical/>
        <horizontal/>
      </border>
    </dxf>
    <dxf>
      <numFmt numFmtId="1" formatCode="0"/>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alignment horizontal="general" vertical="bottom" textRotation="0" wrapText="1"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left style="thin">
          <color auto="1"/>
        </left>
        <right style="thin">
          <color auto="1"/>
        </right>
        <top style="thin">
          <color auto="1"/>
        </top>
      </border>
    </dxf>
    <dxf>
      <border outline="0">
        <bottom style="thin">
          <color auto="1"/>
        </bottom>
      </border>
    </dxf>
    <dxf>
      <alignment horizontal="general" vertical="bottom"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3300"/>
      <color rgb="FFFF33CC"/>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Penetration</a:t>
            </a:r>
            <a:r>
              <a:rPr lang="en-US" baseline="0"/>
              <a:t> vs Tip to Target</a:t>
            </a:r>
          </a:p>
        </c:rich>
      </c:tx>
      <c:layout>
        <c:manualLayout>
          <c:xMode val="edge"/>
          <c:yMode val="edge"/>
          <c:x val="0.1582362035837904"/>
          <c:y val="3.27057716673591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689808670545684"/>
          <c:y val="0.20217617852372499"/>
          <c:w val="0.83621756815317549"/>
          <c:h val="0.57228217392735758"/>
        </c:manualLayout>
      </c:layout>
      <c:lineChart>
        <c:grouping val="standard"/>
        <c:varyColors val="0"/>
        <c:ser>
          <c:idx val="0"/>
          <c:order val="0"/>
          <c:tx>
            <c:strRef>
              <c:f>'Shaped Charge'!$U$7:$U$8</c:f>
              <c:strCache>
                <c:ptCount val="2"/>
                <c:pt idx="0">
                  <c:v>Pene 
/mm</c:v>
                </c:pt>
              </c:strCache>
            </c:strRef>
          </c:tx>
          <c:spPr>
            <a:ln w="28575" cap="rnd">
              <a:solidFill>
                <a:schemeClr val="accent1"/>
              </a:solidFill>
              <a:round/>
            </a:ln>
            <a:effectLst/>
          </c:spPr>
          <c:marker>
            <c:symbol val="none"/>
          </c:marker>
          <c:cat>
            <c:numRef>
              <c:f>'Shaped Charge'!$T$9:$T$33</c:f>
              <c:numCache>
                <c:formatCode>#,##0.00</c:formatCode>
                <c:ptCount val="25"/>
                <c:pt idx="0">
                  <c:v>9.0898954072406585E-2</c:v>
                </c:pt>
                <c:pt idx="1">
                  <c:v>0.18289895407240658</c:v>
                </c:pt>
                <c:pt idx="2">
                  <c:v>0.27489895407240661</c:v>
                </c:pt>
                <c:pt idx="3">
                  <c:v>0.36689895407240658</c:v>
                </c:pt>
                <c:pt idx="4">
                  <c:v>0.45889895407240661</c:v>
                </c:pt>
                <c:pt idx="5">
                  <c:v>0.55089895407240663</c:v>
                </c:pt>
                <c:pt idx="6">
                  <c:v>0.6428989540724066</c:v>
                </c:pt>
                <c:pt idx="7">
                  <c:v>0.73489895407240657</c:v>
                </c:pt>
                <c:pt idx="8">
                  <c:v>0.82689895407240654</c:v>
                </c:pt>
                <c:pt idx="9">
                  <c:v>0.91889895407240663</c:v>
                </c:pt>
                <c:pt idx="10">
                  <c:v>1.0108989540724065</c:v>
                </c:pt>
                <c:pt idx="11">
                  <c:v>1.1028989540724066</c:v>
                </c:pt>
                <c:pt idx="12">
                  <c:v>1.1948989540724064</c:v>
                </c:pt>
                <c:pt idx="13">
                  <c:v>1.2868989540724065</c:v>
                </c:pt>
                <c:pt idx="14">
                  <c:v>1.3788989540724064</c:v>
                </c:pt>
                <c:pt idx="15">
                  <c:v>1.4708989540724065</c:v>
                </c:pt>
                <c:pt idx="16">
                  <c:v>1.5628989540724065</c:v>
                </c:pt>
                <c:pt idx="17">
                  <c:v>1.6548989540724064</c:v>
                </c:pt>
                <c:pt idx="18">
                  <c:v>1.7468989540724065</c:v>
                </c:pt>
                <c:pt idx="19">
                  <c:v>1.8388989540724066</c:v>
                </c:pt>
                <c:pt idx="20">
                  <c:v>1.9308989540724064</c:v>
                </c:pt>
                <c:pt idx="21">
                  <c:v>2.0228989540724065</c:v>
                </c:pt>
                <c:pt idx="22">
                  <c:v>2.1148989540724066</c:v>
                </c:pt>
                <c:pt idx="23">
                  <c:v>2.2068989540724067</c:v>
                </c:pt>
                <c:pt idx="24">
                  <c:v>2.2988989540724063</c:v>
                </c:pt>
              </c:numCache>
            </c:numRef>
          </c:cat>
          <c:val>
            <c:numRef>
              <c:f>'Shaped Charge'!$U$9:$U$33</c:f>
              <c:numCache>
                <c:formatCode>#,##0</c:formatCode>
                <c:ptCount val="25"/>
                <c:pt idx="0">
                  <c:v>424.73604601889349</c:v>
                </c:pt>
                <c:pt idx="1">
                  <c:v>435.35444716936581</c:v>
                </c:pt>
                <c:pt idx="2">
                  <c:v>441.98421032422931</c:v>
                </c:pt>
                <c:pt idx="3">
                  <c:v>444.23923180547536</c:v>
                </c:pt>
                <c:pt idx="4">
                  <c:v>441.98421032422931</c:v>
                </c:pt>
                <c:pt idx="5">
                  <c:v>435.35444716936581</c:v>
                </c:pt>
                <c:pt idx="6">
                  <c:v>424.73604601889349</c:v>
                </c:pt>
                <c:pt idx="7">
                  <c:v>410.71174261260927</c:v>
                </c:pt>
                <c:pt idx="8">
                  <c:v>393.98592504015005</c:v>
                </c:pt>
                <c:pt idx="9">
                  <c:v>375.30555790462574</c:v>
                </c:pt>
                <c:pt idx="10">
                  <c:v>355.39138544438026</c:v>
                </c:pt>
                <c:pt idx="11">
                  <c:v>334.88803628412762</c:v>
                </c:pt>
                <c:pt idx="12">
                  <c:v>314.33534091650961</c:v>
                </c:pt>
                <c:pt idx="13">
                  <c:v>294.15841024957155</c:v>
                </c:pt>
                <c:pt idx="14">
                  <c:v>274.67157550117719</c:v>
                </c:pt>
                <c:pt idx="15">
                  <c:v>256.09085127609757</c:v>
                </c:pt>
                <c:pt idx="16">
                  <c:v>238.55038201061143</c:v>
                </c:pt>
                <c:pt idx="17">
                  <c:v>222.11961590273768</c:v>
                </c:pt>
                <c:pt idx="18">
                  <c:v>206.81921480729969</c:v>
                </c:pt>
                <c:pt idx="19">
                  <c:v>192.63471113688757</c:v>
                </c:pt>
                <c:pt idx="20">
                  <c:v>179.52760708015089</c:v>
                </c:pt>
                <c:pt idx="21">
                  <c:v>167.44401814206378</c:v>
                </c:pt>
                <c:pt idx="22">
                  <c:v>156.32116594950298</c:v>
                </c:pt>
                <c:pt idx="23">
                  <c:v>146.092096365559</c:v>
                </c:pt>
                <c:pt idx="24">
                  <c:v>136.68899440168474</c:v>
                </c:pt>
              </c:numCache>
            </c:numRef>
          </c:val>
          <c:smooth val="0"/>
          <c:extLst>
            <c:ext xmlns:c16="http://schemas.microsoft.com/office/drawing/2014/chart" uri="{C3380CC4-5D6E-409C-BE32-E72D297353CC}">
              <c16:uniqueId val="{00000000-24F7-4118-AF35-83F773F92F3E}"/>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smooth val="0"/>
        <c:axId val="545160096"/>
        <c:axId val="545154848"/>
      </c:lineChart>
      <c:catAx>
        <c:axId val="545160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Tip</a:t>
                </a:r>
                <a:r>
                  <a:rPr lang="en-US" baseline="0"/>
                  <a:t> to Target / meters</a:t>
                </a:r>
                <a:endParaRPr lang="en-US"/>
              </a:p>
            </c:rich>
          </c:tx>
          <c:layout>
            <c:manualLayout>
              <c:xMode val="edge"/>
              <c:yMode val="edge"/>
              <c:x val="0.35101113293555508"/>
              <c:y val="0.906215985139046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54848"/>
        <c:crosses val="autoZero"/>
        <c:auto val="1"/>
        <c:lblAlgn val="ctr"/>
        <c:lblOffset val="100"/>
        <c:noMultiLvlLbl val="0"/>
      </c:catAx>
      <c:valAx>
        <c:axId val="545154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Penetration</a:t>
                </a:r>
                <a:r>
                  <a:rPr lang="en-US" baseline="0"/>
                  <a:t> / mm</a:t>
                </a:r>
                <a:endParaRPr lang="en-US"/>
              </a:p>
            </c:rich>
          </c:tx>
          <c:layout>
            <c:manualLayout>
              <c:xMode val="edge"/>
              <c:yMode val="edge"/>
              <c:x val="1.0452687801672184E-2"/>
              <c:y val="0.2660356999378504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5160096"/>
        <c:crosses val="autoZero"/>
        <c:crossBetween val="between"/>
      </c:valAx>
      <c:spPr>
        <a:noFill/>
        <a:ln>
          <a:noFill/>
        </a:ln>
        <a:effectLst/>
      </c:spPr>
    </c:plotArea>
    <c:legend>
      <c:legendPos val="r"/>
      <c:layout>
        <c:manualLayout>
          <c:xMode val="edge"/>
          <c:yMode val="edge"/>
          <c:x val="0.77699190575132393"/>
          <c:y val="1.5790192045544289E-2"/>
          <c:w val="0.12689693889489009"/>
          <c:h val="0.1390760935192690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035612228164854E-2"/>
          <c:y val="4.7570288762208826E-2"/>
          <c:w val="0.89652584106811894"/>
          <c:h val="0.66799547929023906"/>
        </c:manualLayout>
      </c:layout>
      <c:lineChart>
        <c:grouping val="standard"/>
        <c:varyColors val="0"/>
        <c:ser>
          <c:idx val="0"/>
          <c:order val="0"/>
          <c:tx>
            <c:v> Velocity ms^-1</c:v>
          </c:tx>
          <c:spPr>
            <a:ln w="22225" cap="rnd">
              <a:solidFill>
                <a:schemeClr val="accent1"/>
              </a:solidFill>
              <a:round/>
            </a:ln>
            <a:effectLst/>
          </c:spPr>
          <c:marker>
            <c:symbol val="none"/>
          </c:marker>
          <c:cat>
            <c:multiLvlStrRef>
              <c:f>Gun!$B$45:$V$46</c:f>
              <c:multiLvlStrCache>
                <c:ptCount val="21"/>
                <c:lvl>
                  <c:pt idx="0">
                    <c:v>0.00</c:v>
                  </c:pt>
                  <c:pt idx="1">
                    <c:v>0.07</c:v>
                  </c:pt>
                  <c:pt idx="2">
                    <c:v>0.14</c:v>
                  </c:pt>
                  <c:pt idx="3">
                    <c:v>0.21</c:v>
                  </c:pt>
                  <c:pt idx="4">
                    <c:v>0.28</c:v>
                  </c:pt>
                  <c:pt idx="5">
                    <c:v>0.35</c:v>
                  </c:pt>
                  <c:pt idx="6">
                    <c:v>0.42</c:v>
                  </c:pt>
                  <c:pt idx="7">
                    <c:v>0.49</c:v>
                  </c:pt>
                  <c:pt idx="8">
                    <c:v>0.55</c:v>
                  </c:pt>
                  <c:pt idx="9">
                    <c:v>0.62</c:v>
                  </c:pt>
                  <c:pt idx="10">
                    <c:v>0.69</c:v>
                  </c:pt>
                  <c:pt idx="11">
                    <c:v>0.76</c:v>
                  </c:pt>
                  <c:pt idx="12">
                    <c:v>0.83</c:v>
                  </c:pt>
                  <c:pt idx="13">
                    <c:v>0.90</c:v>
                  </c:pt>
                  <c:pt idx="14">
                    <c:v>0.97</c:v>
                  </c:pt>
                  <c:pt idx="15">
                    <c:v>1.04</c:v>
                  </c:pt>
                  <c:pt idx="16">
                    <c:v>1.11</c:v>
                  </c:pt>
                  <c:pt idx="17">
                    <c:v>1.18</c:v>
                  </c:pt>
                  <c:pt idx="18">
                    <c:v>1.25</c:v>
                  </c:pt>
                  <c:pt idx="19">
                    <c:v>1.32</c:v>
                  </c:pt>
                  <c:pt idx="20">
                    <c:v>1.39</c:v>
                  </c:pt>
                </c:lvl>
                <c:lvl>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lvl>
              </c:multiLvlStrCache>
            </c:multiLvlStrRef>
          </c:cat>
          <c:val>
            <c:numRef>
              <c:f>Gun!$B$47:$V$47</c:f>
              <c:numCache>
                <c:formatCode>#,##0.00</c:formatCode>
                <c:ptCount val="21"/>
                <c:pt idx="0">
                  <c:v>0</c:v>
                </c:pt>
                <c:pt idx="1">
                  <c:v>146.34415089323397</c:v>
                </c:pt>
                <c:pt idx="2">
                  <c:v>279.89572143890973</c:v>
                </c:pt>
                <c:pt idx="3">
                  <c:v>402.26185095264174</c:v>
                </c:pt>
                <c:pt idx="4">
                  <c:v>514.79129140396287</c:v>
                </c:pt>
                <c:pt idx="5">
                  <c:v>618.62432858699583</c:v>
                </c:pt>
                <c:pt idx="6">
                  <c:v>714.73155998029063</c:v>
                </c:pt>
                <c:pt idx="7">
                  <c:v>803.9443271607571</c:v>
                </c:pt>
                <c:pt idx="8">
                  <c:v>886.97882559233017</c:v>
                </c:pt>
                <c:pt idx="9">
                  <c:v>964.45537301641866</c:v>
                </c:pt>
                <c:pt idx="10">
                  <c:v>1036.9139339278449</c:v>
                </c:pt>
                <c:pt idx="11">
                  <c:v>1104.8267222122761</c:v>
                </c:pt>
                <c:pt idx="12">
                  <c:v>1168.6085039998422</c:v>
                </c:pt>
                <c:pt idx="13">
                  <c:v>1228.6250759033928</c:v>
                </c:pt>
                <c:pt idx="14">
                  <c:v>1285.2002848248046</c:v>
                </c:pt>
                <c:pt idx="15">
                  <c:v>1338.6218738654552</c:v>
                </c:pt>
                <c:pt idx="16">
                  <c:v>1389.1463771546914</c:v>
                </c:pt>
                <c:pt idx="17">
                  <c:v>1437.0032393527838</c:v>
                </c:pt>
                <c:pt idx="18">
                  <c:v>1482.3982994205285</c:v>
                </c:pt>
                <c:pt idx="19">
                  <c:v>1525.5167502448917</c:v>
                </c:pt>
                <c:pt idx="20">
                  <c:v>1566.5256638724036</c:v>
                </c:pt>
              </c:numCache>
            </c:numRef>
          </c:val>
          <c:smooth val="0"/>
          <c:extLst>
            <c:ext xmlns:c16="http://schemas.microsoft.com/office/drawing/2014/chart" uri="{C3380CC4-5D6E-409C-BE32-E72D297353CC}">
              <c16:uniqueId val="{00000000-A1FB-494F-98DB-98FE496C7552}"/>
            </c:ext>
          </c:extLst>
        </c:ser>
        <c:dLbls>
          <c:showLegendKey val="0"/>
          <c:showVal val="0"/>
          <c:showCatName val="0"/>
          <c:showSerName val="0"/>
          <c:showPercent val="0"/>
          <c:showBubbleSize val="0"/>
        </c:dLbls>
        <c:marker val="1"/>
        <c:smooth val="0"/>
        <c:axId val="883066048"/>
        <c:axId val="883078184"/>
      </c:lineChart>
      <c:lineChart>
        <c:grouping val="standard"/>
        <c:varyColors val="0"/>
        <c:ser>
          <c:idx val="1"/>
          <c:order val="1"/>
          <c:tx>
            <c:v>Pressure MPa</c:v>
          </c:tx>
          <c:spPr>
            <a:ln w="22225" cap="rnd">
              <a:solidFill>
                <a:schemeClr val="accent2"/>
              </a:solidFill>
              <a:round/>
            </a:ln>
            <a:effectLst/>
          </c:spPr>
          <c:marker>
            <c:symbol val="none"/>
          </c:marker>
          <c:cat>
            <c:multiLvlStrRef>
              <c:f>Gun!$B$45:$V$46</c:f>
              <c:multiLvlStrCache>
                <c:ptCount val="21"/>
                <c:lvl>
                  <c:pt idx="0">
                    <c:v>0.00</c:v>
                  </c:pt>
                  <c:pt idx="1">
                    <c:v>0.07</c:v>
                  </c:pt>
                  <c:pt idx="2">
                    <c:v>0.14</c:v>
                  </c:pt>
                  <c:pt idx="3">
                    <c:v>0.21</c:v>
                  </c:pt>
                  <c:pt idx="4">
                    <c:v>0.28</c:v>
                  </c:pt>
                  <c:pt idx="5">
                    <c:v>0.35</c:v>
                  </c:pt>
                  <c:pt idx="6">
                    <c:v>0.42</c:v>
                  </c:pt>
                  <c:pt idx="7">
                    <c:v>0.49</c:v>
                  </c:pt>
                  <c:pt idx="8">
                    <c:v>0.55</c:v>
                  </c:pt>
                  <c:pt idx="9">
                    <c:v>0.62</c:v>
                  </c:pt>
                  <c:pt idx="10">
                    <c:v>0.69</c:v>
                  </c:pt>
                  <c:pt idx="11">
                    <c:v>0.76</c:v>
                  </c:pt>
                  <c:pt idx="12">
                    <c:v>0.83</c:v>
                  </c:pt>
                  <c:pt idx="13">
                    <c:v>0.90</c:v>
                  </c:pt>
                  <c:pt idx="14">
                    <c:v>0.97</c:v>
                  </c:pt>
                  <c:pt idx="15">
                    <c:v>1.04</c:v>
                  </c:pt>
                  <c:pt idx="16">
                    <c:v>1.11</c:v>
                  </c:pt>
                  <c:pt idx="17">
                    <c:v>1.18</c:v>
                  </c:pt>
                  <c:pt idx="18">
                    <c:v>1.25</c:v>
                  </c:pt>
                  <c:pt idx="19">
                    <c:v>1.32</c:v>
                  </c:pt>
                  <c:pt idx="20">
                    <c:v>1.39</c:v>
                  </c:pt>
                </c:lvl>
                <c:lvl>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lvl>
              </c:multiLvlStrCache>
            </c:multiLvlStrRef>
          </c:cat>
          <c:val>
            <c:numRef>
              <c:f>Gun!$B$48:$V$48</c:f>
              <c:numCache>
                <c:formatCode>#,##0.00</c:formatCode>
                <c:ptCount val="21"/>
                <c:pt idx="0">
                  <c:v>1.7425636040732313</c:v>
                </c:pt>
                <c:pt idx="1">
                  <c:v>177.65361966773747</c:v>
                </c:pt>
                <c:pt idx="2">
                  <c:v>309.42011905030512</c:v>
                </c:pt>
                <c:pt idx="3">
                  <c:v>407.67248230292893</c:v>
                </c:pt>
                <c:pt idx="4">
                  <c:v>480.30721854272826</c:v>
                </c:pt>
                <c:pt idx="5">
                  <c:v>533.24836116966515</c:v>
                </c:pt>
                <c:pt idx="6">
                  <c:v>570.97993671805921</c:v>
                </c:pt>
                <c:pt idx="7">
                  <c:v>596.92330975580944</c:v>
                </c:pt>
                <c:pt idx="8">
                  <c:v>613.70788321615294</c:v>
                </c:pt>
                <c:pt idx="9">
                  <c:v>623.36748910970607</c:v>
                </c:pt>
                <c:pt idx="10">
                  <c:v>627.48435320042381</c:v>
                </c:pt>
                <c:pt idx="11">
                  <c:v>627.29564499275091</c:v>
                </c:pt>
                <c:pt idx="12">
                  <c:v>623.77303981194393</c:v>
                </c:pt>
                <c:pt idx="13">
                  <c:v>617.68262001427547</c:v>
                </c:pt>
                <c:pt idx="14">
                  <c:v>609.63032019485377</c:v>
                </c:pt>
                <c:pt idx="15">
                  <c:v>600.09665132665975</c:v>
                </c:pt>
                <c:pt idx="16">
                  <c:v>589.46340944076042</c:v>
                </c:pt>
                <c:pt idx="17">
                  <c:v>578.03434626807359</c:v>
                </c:pt>
                <c:pt idx="18">
                  <c:v>566.05125914230916</c:v>
                </c:pt>
                <c:pt idx="19">
                  <c:v>553.70658259166134</c:v>
                </c:pt>
                <c:pt idx="20">
                  <c:v>541.15329155468942</c:v>
                </c:pt>
              </c:numCache>
            </c:numRef>
          </c:val>
          <c:smooth val="0"/>
          <c:extLst>
            <c:ext xmlns:c16="http://schemas.microsoft.com/office/drawing/2014/chart" uri="{C3380CC4-5D6E-409C-BE32-E72D297353CC}">
              <c16:uniqueId val="{00000001-A1FB-494F-98DB-98FE496C7552}"/>
            </c:ext>
          </c:extLst>
        </c:ser>
        <c:dLbls>
          <c:showLegendKey val="0"/>
          <c:showVal val="0"/>
          <c:showCatName val="0"/>
          <c:showSerName val="0"/>
          <c:showPercent val="0"/>
          <c:showBubbleSize val="0"/>
        </c:dLbls>
        <c:marker val="1"/>
        <c:smooth val="0"/>
        <c:axId val="1044140096"/>
        <c:axId val="1044139112"/>
      </c:lineChart>
      <c:catAx>
        <c:axId val="88306604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883078184"/>
        <c:crosses val="autoZero"/>
        <c:auto val="1"/>
        <c:lblAlgn val="ctr"/>
        <c:lblOffset val="100"/>
        <c:noMultiLvlLbl val="0"/>
      </c:catAx>
      <c:valAx>
        <c:axId val="883078184"/>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m/s</a:t>
                </a:r>
              </a:p>
            </c:rich>
          </c:tx>
          <c:layout>
            <c:manualLayout>
              <c:xMode val="edge"/>
              <c:yMode val="edge"/>
              <c:x val="5.3675307498933537E-3"/>
              <c:y val="0.74740517184724264"/>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883066048"/>
        <c:crosses val="autoZero"/>
        <c:crossBetween val="between"/>
      </c:valAx>
      <c:valAx>
        <c:axId val="1044139112"/>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MPa</a:t>
                </a:r>
              </a:p>
            </c:rich>
          </c:tx>
          <c:layout>
            <c:manualLayout>
              <c:xMode val="edge"/>
              <c:yMode val="edge"/>
              <c:x val="0.96603240579772209"/>
              <c:y val="0.74029108113271103"/>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044140096"/>
        <c:crosses val="max"/>
        <c:crossBetween val="between"/>
      </c:valAx>
      <c:catAx>
        <c:axId val="1044140096"/>
        <c:scaling>
          <c:orientation val="minMax"/>
        </c:scaling>
        <c:delete val="1"/>
        <c:axPos val="b"/>
        <c:numFmt formatCode="General" sourceLinked="1"/>
        <c:majorTickMark val="out"/>
        <c:minorTickMark val="none"/>
        <c:tickLblPos val="nextTo"/>
        <c:crossAx val="104413911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layout>
        <c:manualLayout>
          <c:xMode val="edge"/>
          <c:yMode val="edge"/>
          <c:x val="0.33437899218904527"/>
          <c:y val="0.90585751585482188"/>
          <c:w val="0.33124201562190947"/>
          <c:h val="7.262431823842466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488172569855137E-2"/>
          <c:y val="0.11899914647713121"/>
          <c:w val="0.9153328191249781"/>
          <c:h val="0.63003957552144119"/>
        </c:manualLayout>
      </c:layout>
      <c:lineChart>
        <c:grouping val="standard"/>
        <c:varyColors val="0"/>
        <c:ser>
          <c:idx val="1"/>
          <c:order val="0"/>
          <c:tx>
            <c:v>Bore Radius m</c:v>
          </c:tx>
          <c:spPr>
            <a:ln w="22225" cap="rnd">
              <a:solidFill>
                <a:schemeClr val="accent2"/>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Gun!$B$51:$V$51</c:f>
              <c:numCache>
                <c:formatCode>General</c:formatCode>
                <c:ptCount val="21"/>
                <c:pt idx="0">
                  <c:v>1.15E-2</c:v>
                </c:pt>
                <c:pt idx="1">
                  <c:v>1.15E-2</c:v>
                </c:pt>
                <c:pt idx="2">
                  <c:v>1.15E-2</c:v>
                </c:pt>
                <c:pt idx="3">
                  <c:v>1.15E-2</c:v>
                </c:pt>
                <c:pt idx="4">
                  <c:v>1.15E-2</c:v>
                </c:pt>
                <c:pt idx="5">
                  <c:v>1.15E-2</c:v>
                </c:pt>
                <c:pt idx="6">
                  <c:v>1.15E-2</c:v>
                </c:pt>
                <c:pt idx="7">
                  <c:v>1.15E-2</c:v>
                </c:pt>
                <c:pt idx="8">
                  <c:v>1.15E-2</c:v>
                </c:pt>
                <c:pt idx="9">
                  <c:v>1.15E-2</c:v>
                </c:pt>
                <c:pt idx="10">
                  <c:v>1.15E-2</c:v>
                </c:pt>
                <c:pt idx="11">
                  <c:v>1.15E-2</c:v>
                </c:pt>
                <c:pt idx="12">
                  <c:v>1.15E-2</c:v>
                </c:pt>
                <c:pt idx="13">
                  <c:v>1.15E-2</c:v>
                </c:pt>
                <c:pt idx="14">
                  <c:v>1.15E-2</c:v>
                </c:pt>
                <c:pt idx="15">
                  <c:v>1.15E-2</c:v>
                </c:pt>
                <c:pt idx="16">
                  <c:v>1.15E-2</c:v>
                </c:pt>
                <c:pt idx="17">
                  <c:v>1.15E-2</c:v>
                </c:pt>
                <c:pt idx="18">
                  <c:v>1.15E-2</c:v>
                </c:pt>
                <c:pt idx="19">
                  <c:v>1.15E-2</c:v>
                </c:pt>
                <c:pt idx="20">
                  <c:v>1.15E-2</c:v>
                </c:pt>
              </c:numCache>
            </c:numRef>
          </c:val>
          <c:smooth val="0"/>
          <c:extLst>
            <c:ext xmlns:c16="http://schemas.microsoft.com/office/drawing/2014/chart" uri="{C3380CC4-5D6E-409C-BE32-E72D297353CC}">
              <c16:uniqueId val="{00000002-6B93-4794-A43B-60F68C72E5ED}"/>
            </c:ext>
          </c:extLst>
        </c:ser>
        <c:ser>
          <c:idx val="0"/>
          <c:order val="1"/>
          <c:tx>
            <c:v>Monobloc Barrel Radius  m</c:v>
          </c:tx>
          <c:spPr>
            <a:ln w="22225" cap="rnd">
              <a:solidFill>
                <a:schemeClr val="accent1"/>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Gun!$B$49:$V$49</c:f>
              <c:numCache>
                <c:formatCode>0.000</c:formatCode>
                <c:ptCount val="21"/>
                <c:pt idx="0">
                  <c:v>5.0363839005449239E-2</c:v>
                </c:pt>
                <c:pt idx="1">
                  <c:v>5.0363839005449239E-2</c:v>
                </c:pt>
                <c:pt idx="2">
                  <c:v>5.0363839005449239E-2</c:v>
                </c:pt>
                <c:pt idx="3">
                  <c:v>5.0363839005449239E-2</c:v>
                </c:pt>
                <c:pt idx="4">
                  <c:v>5.0363839005449239E-2</c:v>
                </c:pt>
                <c:pt idx="5">
                  <c:v>5.0363839005449239E-2</c:v>
                </c:pt>
                <c:pt idx="6">
                  <c:v>5.0363839005449239E-2</c:v>
                </c:pt>
                <c:pt idx="7">
                  <c:v>5.0363839005449239E-2</c:v>
                </c:pt>
                <c:pt idx="8">
                  <c:v>5.0363839005449239E-2</c:v>
                </c:pt>
                <c:pt idx="9">
                  <c:v>5.0363839005449239E-2</c:v>
                </c:pt>
                <c:pt idx="10">
                  <c:v>5.0363839005449239E-2</c:v>
                </c:pt>
                <c:pt idx="11">
                  <c:v>5.0226723291100027E-2</c:v>
                </c:pt>
                <c:pt idx="12">
                  <c:v>4.7856612372567768E-2</c:v>
                </c:pt>
                <c:pt idx="13">
                  <c:v>4.4446728109464609E-2</c:v>
                </c:pt>
                <c:pt idx="14">
                  <c:v>4.088715341372906E-2</c:v>
                </c:pt>
                <c:pt idx="15">
                  <c:v>3.7607092960305046E-2</c:v>
                </c:pt>
                <c:pt idx="16">
                  <c:v>3.4741476014743644E-2</c:v>
                </c:pt>
                <c:pt idx="17">
                  <c:v>3.2290591333014124E-2</c:v>
                </c:pt>
                <c:pt idx="18">
                  <c:v>3.020697214923743E-2</c:v>
                </c:pt>
                <c:pt idx="19">
                  <c:v>2.8433204302350634E-2</c:v>
                </c:pt>
                <c:pt idx="20">
                  <c:v>2.6915931982553511E-2</c:v>
                </c:pt>
              </c:numCache>
            </c:numRef>
          </c:val>
          <c:smooth val="0"/>
          <c:extLst>
            <c:ext xmlns:c16="http://schemas.microsoft.com/office/drawing/2014/chart" uri="{C3380CC4-5D6E-409C-BE32-E72D297353CC}">
              <c16:uniqueId val="{00000004-6B93-4794-A43B-60F68C72E5ED}"/>
            </c:ext>
          </c:extLst>
        </c:ser>
        <c:ser>
          <c:idx val="2"/>
          <c:order val="2"/>
          <c:tx>
            <c:v>Autofrettage Barrel Radius  m</c:v>
          </c:tx>
          <c:spPr>
            <a:ln w="22225" cap="rnd">
              <a:solidFill>
                <a:schemeClr val="accent3"/>
              </a:solidFill>
              <a:round/>
            </a:ln>
            <a:effectLst/>
          </c:spPr>
          <c:marker>
            <c:symbol val="none"/>
          </c:marker>
          <c:dLbls>
            <c:delete val="1"/>
          </c:dLbls>
          <c:cat>
            <c:numRef>
              <c:f>Gun!$B$46:$V$46</c:f>
              <c:numCache>
                <c:formatCode>#,##0.00</c:formatCode>
                <c:ptCount val="21"/>
                <c:pt idx="0">
                  <c:v>0</c:v>
                </c:pt>
                <c:pt idx="1">
                  <c:v>6.9350000000000009E-2</c:v>
                </c:pt>
                <c:pt idx="2">
                  <c:v>0.13870000000000002</c:v>
                </c:pt>
                <c:pt idx="3">
                  <c:v>0.20804999999999998</c:v>
                </c:pt>
                <c:pt idx="4">
                  <c:v>0.27740000000000004</c:v>
                </c:pt>
                <c:pt idx="5">
                  <c:v>0.34675</c:v>
                </c:pt>
                <c:pt idx="6">
                  <c:v>0.41609999999999997</c:v>
                </c:pt>
                <c:pt idx="7">
                  <c:v>0.48544999999999999</c:v>
                </c:pt>
                <c:pt idx="8">
                  <c:v>0.55480000000000007</c:v>
                </c:pt>
                <c:pt idx="9">
                  <c:v>0.62414999999999998</c:v>
                </c:pt>
                <c:pt idx="10">
                  <c:v>0.69350000000000001</c:v>
                </c:pt>
                <c:pt idx="11">
                  <c:v>0.76285000000000003</c:v>
                </c:pt>
                <c:pt idx="12">
                  <c:v>0.83219999999999994</c:v>
                </c:pt>
                <c:pt idx="13">
                  <c:v>0.90155000000000007</c:v>
                </c:pt>
                <c:pt idx="14">
                  <c:v>0.97089999999999999</c:v>
                </c:pt>
                <c:pt idx="15">
                  <c:v>1.0402499999999999</c:v>
                </c:pt>
                <c:pt idx="16">
                  <c:v>1.1096000000000001</c:v>
                </c:pt>
                <c:pt idx="17">
                  <c:v>1.1789499999999999</c:v>
                </c:pt>
                <c:pt idx="18">
                  <c:v>1.2483</c:v>
                </c:pt>
                <c:pt idx="19">
                  <c:v>1.31765</c:v>
                </c:pt>
                <c:pt idx="20">
                  <c:v>1.387</c:v>
                </c:pt>
              </c:numCache>
            </c:numRef>
          </c:cat>
          <c:val>
            <c:numRef>
              <c:f>Gun!$B$50:$V$50</c:f>
              <c:numCache>
                <c:formatCode>0.000</c:formatCode>
                <c:ptCount val="21"/>
                <c:pt idx="0">
                  <c:v>1.8472401653621219E-2</c:v>
                </c:pt>
                <c:pt idx="1">
                  <c:v>1.8472401653621219E-2</c:v>
                </c:pt>
                <c:pt idx="2">
                  <c:v>1.8472401653621219E-2</c:v>
                </c:pt>
                <c:pt idx="3">
                  <c:v>1.8472401653621219E-2</c:v>
                </c:pt>
                <c:pt idx="4">
                  <c:v>1.8472401653621219E-2</c:v>
                </c:pt>
                <c:pt idx="5">
                  <c:v>1.8472401653621219E-2</c:v>
                </c:pt>
                <c:pt idx="6">
                  <c:v>1.8472401653621219E-2</c:v>
                </c:pt>
                <c:pt idx="7">
                  <c:v>1.8472401653621219E-2</c:v>
                </c:pt>
                <c:pt idx="8">
                  <c:v>1.8472401653621219E-2</c:v>
                </c:pt>
                <c:pt idx="9">
                  <c:v>1.8472401653621219E-2</c:v>
                </c:pt>
                <c:pt idx="10">
                  <c:v>1.8472401653621219E-2</c:v>
                </c:pt>
                <c:pt idx="11">
                  <c:v>1.8469768990933125E-2</c:v>
                </c:pt>
                <c:pt idx="12">
                  <c:v>1.8420694043972129E-2</c:v>
                </c:pt>
                <c:pt idx="13">
                  <c:v>1.8336153169644341E-2</c:v>
                </c:pt>
                <c:pt idx="14">
                  <c:v>1.8224974824892558E-2</c:v>
                </c:pt>
                <c:pt idx="15">
                  <c:v>1.8094214391560278E-2</c:v>
                </c:pt>
                <c:pt idx="16">
                  <c:v>1.7949479025033098E-2</c:v>
                </c:pt>
                <c:pt idx="17">
                  <c:v>1.7795201955458636E-2</c:v>
                </c:pt>
                <c:pt idx="18">
                  <c:v>1.7634870104161225E-2</c:v>
                </c:pt>
                <c:pt idx="19">
                  <c:v>1.7471210710987582E-2</c:v>
                </c:pt>
                <c:pt idx="20">
                  <c:v>1.7306343081141463E-2</c:v>
                </c:pt>
              </c:numCache>
            </c:numRef>
          </c:val>
          <c:smooth val="0"/>
          <c:extLst>
            <c:ext xmlns:c16="http://schemas.microsoft.com/office/drawing/2014/chart" uri="{C3380CC4-5D6E-409C-BE32-E72D297353CC}">
              <c16:uniqueId val="{00000003-6B93-4794-A43B-60F68C72E5ED}"/>
            </c:ext>
          </c:extLst>
        </c:ser>
        <c:dLbls>
          <c:dLblPos val="ctr"/>
          <c:showLegendKey val="0"/>
          <c:showVal val="1"/>
          <c:showCatName val="0"/>
          <c:showSerName val="0"/>
          <c:showPercent val="0"/>
          <c:showBubbleSize val="0"/>
        </c:dLbls>
        <c:smooth val="0"/>
        <c:axId val="513937840"/>
        <c:axId val="904708848"/>
      </c:lineChart>
      <c:catAx>
        <c:axId val="51393784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904708848"/>
        <c:crosses val="autoZero"/>
        <c:auto val="1"/>
        <c:lblAlgn val="ctr"/>
        <c:lblOffset val="100"/>
        <c:noMultiLvlLbl val="0"/>
      </c:catAx>
      <c:valAx>
        <c:axId val="904708848"/>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13937840"/>
        <c:crosses val="autoZero"/>
        <c:crossBetween val="between"/>
      </c:val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0"/>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Launch Voltage-Length Profile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1001257154199888"/>
          <c:y val="0.22351781122488446"/>
          <c:w val="0.86635375657524727"/>
          <c:h val="0.59152583150980798"/>
        </c:manualLayout>
      </c:layout>
      <c:scatterChart>
        <c:scatterStyle val="smoothMarker"/>
        <c:varyColors val="0"/>
        <c:ser>
          <c:idx val="0"/>
          <c:order val="0"/>
          <c:tx>
            <c:v>Position/%</c:v>
          </c:tx>
          <c:spPr>
            <a:ln w="9525"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xVal>
            <c:numRef>
              <c:f>Railgun!$N$7:$X$7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Railgun!$N$8:$X$8</c:f>
              <c:numCache>
                <c:formatCode>#,##0</c:formatCode>
                <c:ptCount val="11"/>
                <c:pt idx="0">
                  <c:v>0</c:v>
                </c:pt>
                <c:pt idx="1">
                  <c:v>4.4768183503403307</c:v>
                </c:pt>
                <c:pt idx="2">
                  <c:v>8.9532936782715034</c:v>
                </c:pt>
                <c:pt idx="3">
                  <c:v>13.429712570555855</c:v>
                </c:pt>
                <c:pt idx="4">
                  <c:v>17.906102249599776</c:v>
                </c:pt>
                <c:pt idx="5">
                  <c:v>22.382473259773178</c:v>
                </c:pt>
                <c:pt idx="6">
                  <c:v>26.858831008870915</c:v>
                </c:pt>
                <c:pt idx="7">
                  <c:v>31.335178709371178</c:v>
                </c:pt>
                <c:pt idx="8">
                  <c:v>35.811518454381236</c:v>
                </c:pt>
                <c:pt idx="9">
                  <c:v>40.287851697778329</c:v>
                </c:pt>
                <c:pt idx="10">
                  <c:v>44.764179498121671</c:v>
                </c:pt>
              </c:numCache>
            </c:numRef>
          </c:yVal>
          <c:smooth val="1"/>
          <c:extLst>
            <c:ext xmlns:c16="http://schemas.microsoft.com/office/drawing/2014/chart" uri="{C3380CC4-5D6E-409C-BE32-E72D297353CC}">
              <c16:uniqueId val="{00000000-8376-4D15-B394-22BAB1CCC184}"/>
            </c:ext>
          </c:extLst>
        </c:ser>
        <c:dLbls>
          <c:showLegendKey val="0"/>
          <c:showVal val="0"/>
          <c:showCatName val="0"/>
          <c:showSerName val="0"/>
          <c:showPercent val="0"/>
          <c:showBubbleSize val="0"/>
        </c:dLbls>
        <c:axId val="866858432"/>
        <c:axId val="866857120"/>
      </c:scatterChart>
      <c:valAx>
        <c:axId val="866858432"/>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Position/% of barrel</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6857120"/>
        <c:crosses val="autoZero"/>
        <c:crossBetween val="midCat"/>
      </c:valAx>
      <c:valAx>
        <c:axId val="86685712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U/Meavolt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866858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BD-4CC4-9BBB-4F17A37BF7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BD-4CC4-9BBB-4F17A37BF7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FBD-4CC4-9BBB-4F17A37BF7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FBD-4CC4-9BBB-4F17A37BF7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'C.M.'!$O$27:$O$30</c:f>
              <c:strCache>
                <c:ptCount val="4"/>
                <c:pt idx="0">
                  <c:v>armor</c:v>
                </c:pt>
                <c:pt idx="1">
                  <c:v>LS</c:v>
                </c:pt>
                <c:pt idx="2">
                  <c:v>structure</c:v>
                </c:pt>
                <c:pt idx="3">
                  <c:v>furnishing</c:v>
                </c:pt>
              </c:strCache>
            </c:strRef>
          </c:cat>
          <c:val>
            <c:numRef>
              <c:f>'C.M.'!$P$27:$P$30</c:f>
              <c:numCache>
                <c:formatCode>0%</c:formatCode>
                <c:ptCount val="4"/>
                <c:pt idx="0">
                  <c:v>0.60754893108571983</c:v>
                </c:pt>
                <c:pt idx="1">
                  <c:v>5.9996276226237266E-2</c:v>
                </c:pt>
                <c:pt idx="2">
                  <c:v>1.1263935228832945E-2</c:v>
                </c:pt>
                <c:pt idx="3">
                  <c:v>0.30721259279637209</c:v>
                </c:pt>
              </c:numCache>
            </c:numRef>
          </c:val>
          <c:extLst>
            <c:ext xmlns:c16="http://schemas.microsoft.com/office/drawing/2014/chart" uri="{C3380CC4-5D6E-409C-BE32-E72D297353CC}">
              <c16:uniqueId val="{00000000-60AF-430C-8F8F-30F9FEEAA24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Velocity-Penetration Ratio </a:t>
            </a:r>
          </a:p>
        </c:rich>
      </c:tx>
      <c:layout>
        <c:manualLayout>
          <c:xMode val="edge"/>
          <c:yMode val="edge"/>
          <c:x val="0.25070608361454816"/>
          <c:y val="5.5065587892079828E-4"/>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lotArea>
      <c:layout>
        <c:manualLayout>
          <c:layoutTarget val="inner"/>
          <c:xMode val="edge"/>
          <c:yMode val="edge"/>
          <c:x val="6.3777255115837789E-2"/>
          <c:y val="0.12156199992726216"/>
          <c:w val="0.89629165922319365"/>
          <c:h val="0.74623030701277426"/>
        </c:manualLayout>
      </c:layout>
      <c:lineChart>
        <c:grouping val="standard"/>
        <c:varyColors val="0"/>
        <c:ser>
          <c:idx val="0"/>
          <c:order val="0"/>
          <c:tx>
            <c:strRef>
              <c:f>Terminal!$V$6</c:f>
              <c:strCache>
                <c:ptCount val="1"/>
                <c:pt idx="0">
                  <c:v>d/L</c:v>
                </c:pt>
              </c:strCache>
            </c:strRef>
          </c:tx>
          <c:spPr>
            <a:ln w="22225" cap="rnd">
              <a:solidFill>
                <a:schemeClr val="accent1"/>
              </a:solidFill>
              <a:round/>
            </a:ln>
            <a:effectLst/>
          </c:spPr>
          <c:marker>
            <c:symbol val="none"/>
          </c:marker>
          <c:cat>
            <c:numRef>
              <c:f>Terminal!$U$7:$U$22</c:f>
              <c:numCache>
                <c:formatCode>General</c:formatCode>
                <c:ptCount val="16"/>
                <c:pt idx="0">
                  <c:v>200</c:v>
                </c:pt>
                <c:pt idx="1">
                  <c:v>400</c:v>
                </c:pt>
                <c:pt idx="2">
                  <c:v>600</c:v>
                </c:pt>
                <c:pt idx="3">
                  <c:v>800</c:v>
                </c:pt>
                <c:pt idx="4">
                  <c:v>1000</c:v>
                </c:pt>
                <c:pt idx="5">
                  <c:v>1200</c:v>
                </c:pt>
                <c:pt idx="6">
                  <c:v>1400</c:v>
                </c:pt>
                <c:pt idx="7">
                  <c:v>1600</c:v>
                </c:pt>
                <c:pt idx="8">
                  <c:v>1800</c:v>
                </c:pt>
                <c:pt idx="9">
                  <c:v>2000</c:v>
                </c:pt>
                <c:pt idx="10">
                  <c:v>2200</c:v>
                </c:pt>
                <c:pt idx="11">
                  <c:v>2400</c:v>
                </c:pt>
                <c:pt idx="12">
                  <c:v>2600</c:v>
                </c:pt>
                <c:pt idx="13">
                  <c:v>2800</c:v>
                </c:pt>
                <c:pt idx="14">
                  <c:v>3000</c:v>
                </c:pt>
                <c:pt idx="15">
                  <c:v>3200</c:v>
                </c:pt>
              </c:numCache>
            </c:numRef>
          </c:cat>
          <c:val>
            <c:numRef>
              <c:f>Terminal!$V$7:$V$22</c:f>
              <c:numCache>
                <c:formatCode>General</c:formatCode>
                <c:ptCount val="16"/>
                <c:pt idx="0">
                  <c:v>0.128728784244796</c:v>
                </c:pt>
                <c:pt idx="1">
                  <c:v>0.45395967084341693</c:v>
                </c:pt>
                <c:pt idx="2">
                  <c:v>0.83839821731273345</c:v>
                </c:pt>
                <c:pt idx="3">
                  <c:v>1.1598577300938873</c:v>
                </c:pt>
                <c:pt idx="4">
                  <c:v>1.3677398824140647</c:v>
                </c:pt>
                <c:pt idx="5">
                  <c:v>1.4753557039977443</c:v>
                </c:pt>
                <c:pt idx="6">
                  <c:v>1.5207166514774753</c:v>
                </c:pt>
                <c:pt idx="7">
                  <c:v>1.5364352403150812</c:v>
                </c:pt>
                <c:pt idx="8">
                  <c:v>1.5409399017396188</c:v>
                </c:pt>
                <c:pt idx="9">
                  <c:v>1.5420117719977353</c:v>
                </c:pt>
                <c:pt idx="10">
                  <c:v>1.5422241174184421</c:v>
                </c:pt>
                <c:pt idx="11">
                  <c:v>1.5422592103435901</c:v>
                </c:pt>
                <c:pt idx="12">
                  <c:v>1.5422640554713916</c:v>
                </c:pt>
                <c:pt idx="13">
                  <c:v>1.5422646149442614</c:v>
                </c:pt>
                <c:pt idx="14">
                  <c:v>1.5422646690209705</c:v>
                </c:pt>
                <c:pt idx="15">
                  <c:v>1.5422646733990917</c:v>
                </c:pt>
              </c:numCache>
            </c:numRef>
          </c:val>
          <c:smooth val="0"/>
          <c:extLst>
            <c:ext xmlns:c16="http://schemas.microsoft.com/office/drawing/2014/chart" uri="{C3380CC4-5D6E-409C-BE32-E72D297353CC}">
              <c16:uniqueId val="{00000000-AD43-497F-8840-CD2810575631}"/>
            </c:ext>
          </c:extLst>
        </c:ser>
        <c:dLbls>
          <c:showLegendKey val="0"/>
          <c:showVal val="0"/>
          <c:showCatName val="0"/>
          <c:showSerName val="0"/>
          <c:showPercent val="0"/>
          <c:showBubbleSize val="0"/>
        </c:dLbls>
        <c:smooth val="0"/>
        <c:axId val="516300504"/>
        <c:axId val="516301160"/>
      </c:lineChart>
      <c:catAx>
        <c:axId val="516300504"/>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516301160"/>
        <c:crosses val="autoZero"/>
        <c:auto val="1"/>
        <c:lblAlgn val="ctr"/>
        <c:lblOffset val="100"/>
        <c:tickMarkSkip val="1"/>
        <c:noMultiLvlLbl val="0"/>
      </c:catAx>
      <c:valAx>
        <c:axId val="516301160"/>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516300504"/>
        <c:crosses val="autoZero"/>
        <c:crossBetween val="between"/>
      </c:valAx>
      <c:spPr>
        <a:pattFill prst="ltDnDiag">
          <a:fgClr>
            <a:schemeClr val="dk1">
              <a:lumMod val="15000"/>
              <a:lumOff val="85000"/>
            </a:schemeClr>
          </a:fgClr>
          <a:bgClr>
            <a:schemeClr val="lt1"/>
          </a:bgClr>
        </a:pattFill>
        <a:ln>
          <a:noFill/>
        </a:ln>
        <a:effectLst/>
      </c:spPr>
    </c:plotArea>
    <c:plotVisOnly val="0"/>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Energy Distribution </a:t>
            </a:r>
            <a:r>
              <a:rPr lang="en-US" altLang="zh-CN" sz="1400" b="1" i="0" u="none" strike="noStrike" baseline="0">
                <a:solidFill>
                  <a:sysClr val="windowText" lastClr="000000">
                    <a:lumMod val="65000"/>
                    <a:lumOff val="35000"/>
                  </a:sysClr>
                </a:solidFill>
                <a:latin typeface="Calibri" panose="020F0502020204030204"/>
              </a:rPr>
              <a:t>upon Firing</a:t>
            </a:r>
          </a:p>
        </cx:rich>
      </cx:tx>
    </cx:title>
    <cx:plotArea>
      <cx:plotAreaRegion>
        <cx:series layoutId="treemap" uniqueId="{994F2A18-DD7F-4639-A048-523B484743BB}">
          <cx:dataLabels pos="inEnd">
            <cx:visibility seriesName="0" categoryName="1" value="0"/>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fmlaLink="$G$13" lockText="1" noThreeD="1"/>
</file>

<file path=xl/ctrlProps/ctrlProp7.xml><?xml version="1.0" encoding="utf-8"?>
<formControlPr xmlns="http://schemas.microsoft.com/office/spreadsheetml/2009/9/main" objectType="Spin" dx="39" fmlaLink="$V$30" max="2" page="10" val="2"/>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4763</xdr:colOff>
          <xdr:row>8</xdr:row>
          <xdr:rowOff>4763</xdr:rowOff>
        </xdr:from>
        <xdr:to>
          <xdr:col>9</xdr:col>
          <xdr:colOff>638175</xdr:colOff>
          <xdr:row>9</xdr:row>
          <xdr:rowOff>157163</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638175</xdr:colOff>
          <xdr:row>13</xdr:row>
          <xdr:rowOff>171450</xdr:rowOff>
        </xdr:from>
        <xdr:to>
          <xdr:col>8</xdr:col>
          <xdr:colOff>9525</xdr:colOff>
          <xdr:row>15</xdr:row>
          <xdr:rowOff>9525</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0900-0000037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Optimize for Isp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4764</xdr:colOff>
      <xdr:row>8</xdr:row>
      <xdr:rowOff>128588</xdr:rowOff>
    </xdr:from>
    <xdr:to>
      <xdr:col>12</xdr:col>
      <xdr:colOff>638176</xdr:colOff>
      <xdr:row>10</xdr:row>
      <xdr:rowOff>157163</xdr:rowOff>
    </xdr:to>
    <xdr:sp macro="" textlink="">
      <xdr:nvSpPr>
        <xdr:cNvPr id="9" name="Right Triangle 8">
          <a:extLst>
            <a:ext uri="{FF2B5EF4-FFF2-40B4-BE49-F238E27FC236}">
              <a16:creationId xmlns:a16="http://schemas.microsoft.com/office/drawing/2014/main" id="{00000000-0008-0000-0A00-000009000000}"/>
            </a:ext>
          </a:extLst>
        </xdr:cNvPr>
        <xdr:cNvSpPr/>
      </xdr:nvSpPr>
      <xdr:spPr>
        <a:xfrm>
          <a:off x="7129464" y="1395413"/>
          <a:ext cx="633412" cy="390525"/>
        </a:xfrm>
        <a:prstGeom prst="rtTriangle">
          <a:avLst/>
        </a:prstGeom>
        <a:pattFill prst="smGrid">
          <a:fgClr>
            <a:schemeClr val="accent1"/>
          </a:fgClr>
          <a:bgClr>
            <a:schemeClr val="bg1"/>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19050</xdr:colOff>
      <xdr:row>5</xdr:row>
      <xdr:rowOff>161925</xdr:rowOff>
    </xdr:from>
    <xdr:to>
      <xdr:col>16</xdr:col>
      <xdr:colOff>14288</xdr:colOff>
      <xdr:row>8</xdr:row>
      <xdr:rowOff>119063</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a:off x="7791450" y="885825"/>
          <a:ext cx="1938338" cy="500063"/>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628650</xdr:colOff>
      <xdr:row>8</xdr:row>
      <xdr:rowOff>90488</xdr:rowOff>
    </xdr:from>
    <xdr:to>
      <xdr:col>16</xdr:col>
      <xdr:colOff>23813</xdr:colOff>
      <xdr:row>10</xdr:row>
      <xdr:rowOff>166689</xdr:rowOff>
    </xdr:to>
    <xdr:cxnSp macro="">
      <xdr:nvCxnSpPr>
        <xdr:cNvPr id="5" name="Straight Arrow Connector 4">
          <a:extLst>
            <a:ext uri="{FF2B5EF4-FFF2-40B4-BE49-F238E27FC236}">
              <a16:creationId xmlns:a16="http://schemas.microsoft.com/office/drawing/2014/main" id="{00000000-0008-0000-0A00-000005000000}"/>
            </a:ext>
          </a:extLst>
        </xdr:cNvPr>
        <xdr:cNvCxnSpPr/>
      </xdr:nvCxnSpPr>
      <xdr:spPr>
        <a:xfrm flipV="1">
          <a:off x="7753350" y="1357313"/>
          <a:ext cx="1985963" cy="43815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0</xdr:colOff>
      <xdr:row>6</xdr:row>
      <xdr:rowOff>4762</xdr:rowOff>
    </xdr:from>
    <xdr:to>
      <xdr:col>12</xdr:col>
      <xdr:colOff>633412</xdr:colOff>
      <xdr:row>8</xdr:row>
      <xdr:rowOff>33337</xdr:rowOff>
    </xdr:to>
    <xdr:sp macro="" textlink="">
      <xdr:nvSpPr>
        <xdr:cNvPr id="10" name="Right Triangle 9">
          <a:extLst>
            <a:ext uri="{FF2B5EF4-FFF2-40B4-BE49-F238E27FC236}">
              <a16:creationId xmlns:a16="http://schemas.microsoft.com/office/drawing/2014/main" id="{00000000-0008-0000-0A00-00000A000000}"/>
            </a:ext>
          </a:extLst>
        </xdr:cNvPr>
        <xdr:cNvSpPr/>
      </xdr:nvSpPr>
      <xdr:spPr>
        <a:xfrm flipV="1">
          <a:off x="7124700" y="909637"/>
          <a:ext cx="633412" cy="390525"/>
        </a:xfrm>
        <a:prstGeom prst="rtTriangle">
          <a:avLst/>
        </a:prstGeom>
        <a:pattFill prst="smGrid">
          <a:fgClr>
            <a:schemeClr val="accent1"/>
          </a:fgClr>
          <a:bgClr>
            <a:schemeClr val="bg1"/>
          </a:bgClr>
        </a:patt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438150</xdr:colOff>
      <xdr:row>6</xdr:row>
      <xdr:rowOff>23813</xdr:rowOff>
    </xdr:from>
    <xdr:to>
      <xdr:col>10</xdr:col>
      <xdr:colOff>557213</xdr:colOff>
      <xdr:row>10</xdr:row>
      <xdr:rowOff>166688</xdr:rowOff>
    </xdr:to>
    <xdr:sp macro="" textlink="">
      <xdr:nvSpPr>
        <xdr:cNvPr id="11" name="Left Brace 10">
          <a:extLst>
            <a:ext uri="{FF2B5EF4-FFF2-40B4-BE49-F238E27FC236}">
              <a16:creationId xmlns:a16="http://schemas.microsoft.com/office/drawing/2014/main" id="{00000000-0008-0000-0A00-00000B000000}"/>
            </a:ext>
          </a:extLst>
        </xdr:cNvPr>
        <xdr:cNvSpPr/>
      </xdr:nvSpPr>
      <xdr:spPr>
        <a:xfrm>
          <a:off x="6915150" y="928688"/>
          <a:ext cx="119063" cy="866775"/>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12</xdr:col>
      <xdr:colOff>0</xdr:colOff>
      <xdr:row>6</xdr:row>
      <xdr:rowOff>4762</xdr:rowOff>
    </xdr:from>
    <xdr:to>
      <xdr:col>12</xdr:col>
      <xdr:colOff>633412</xdr:colOff>
      <xdr:row>8</xdr:row>
      <xdr:rowOff>33337</xdr:rowOff>
    </xdr:to>
    <xdr:cxnSp macro="">
      <xdr:nvCxnSpPr>
        <xdr:cNvPr id="13" name="Straight Connector 12">
          <a:extLst>
            <a:ext uri="{FF2B5EF4-FFF2-40B4-BE49-F238E27FC236}">
              <a16:creationId xmlns:a16="http://schemas.microsoft.com/office/drawing/2014/main" id="{00000000-0008-0000-0A00-00000D000000}"/>
            </a:ext>
          </a:extLst>
        </xdr:cNvPr>
        <xdr:cNvCxnSpPr>
          <a:stCxn id="10" idx="4"/>
          <a:endCxn id="10" idx="0"/>
        </xdr:cNvCxnSpPr>
      </xdr:nvCxnSpPr>
      <xdr:spPr>
        <a:xfrm flipH="1">
          <a:off x="7772400" y="909637"/>
          <a:ext cx="633412" cy="390525"/>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4764</xdr:colOff>
      <xdr:row>8</xdr:row>
      <xdr:rowOff>128588</xdr:rowOff>
    </xdr:from>
    <xdr:to>
      <xdr:col>12</xdr:col>
      <xdr:colOff>638176</xdr:colOff>
      <xdr:row>10</xdr:row>
      <xdr:rowOff>157163</xdr:rowOff>
    </xdr:to>
    <xdr:cxnSp macro="">
      <xdr:nvCxnSpPr>
        <xdr:cNvPr id="16" name="Straight Connector 15">
          <a:extLst>
            <a:ext uri="{FF2B5EF4-FFF2-40B4-BE49-F238E27FC236}">
              <a16:creationId xmlns:a16="http://schemas.microsoft.com/office/drawing/2014/main" id="{00000000-0008-0000-0A00-000010000000}"/>
            </a:ext>
          </a:extLst>
        </xdr:cNvPr>
        <xdr:cNvCxnSpPr>
          <a:stCxn id="9" idx="4"/>
          <a:endCxn id="9" idx="0"/>
        </xdr:cNvCxnSpPr>
      </xdr:nvCxnSpPr>
      <xdr:spPr>
        <a:xfrm flipH="1" flipV="1">
          <a:off x="7777164" y="1395413"/>
          <a:ext cx="633412" cy="390525"/>
        </a:xfrm>
        <a:prstGeom prst="line">
          <a:avLst/>
        </a:prstGeom>
      </xdr:spPr>
      <xdr:style>
        <a:lnRef idx="2">
          <a:schemeClr val="accent2"/>
        </a:lnRef>
        <a:fillRef idx="0">
          <a:schemeClr val="accent2"/>
        </a:fillRef>
        <a:effectRef idx="1">
          <a:schemeClr val="accent2"/>
        </a:effectRef>
        <a:fontRef idx="minor">
          <a:schemeClr val="tx1"/>
        </a:fontRef>
      </xdr:style>
    </xdr:cxnSp>
    <xdr:clientData/>
  </xdr:twoCellAnchor>
  <xdr:twoCellAnchor>
    <xdr:from>
      <xdr:col>12</xdr:col>
      <xdr:colOff>290512</xdr:colOff>
      <xdr:row>13</xdr:row>
      <xdr:rowOff>57151</xdr:rowOff>
    </xdr:from>
    <xdr:to>
      <xdr:col>12</xdr:col>
      <xdr:colOff>604838</xdr:colOff>
      <xdr:row>15</xdr:row>
      <xdr:rowOff>4930</xdr:rowOff>
    </xdr:to>
    <xdr:cxnSp macro="">
      <xdr:nvCxnSpPr>
        <xdr:cNvPr id="20" name="Straight Connector 19">
          <a:extLst>
            <a:ext uri="{FF2B5EF4-FFF2-40B4-BE49-F238E27FC236}">
              <a16:creationId xmlns:a16="http://schemas.microsoft.com/office/drawing/2014/main" id="{00000000-0008-0000-0A00-000014000000}"/>
            </a:ext>
          </a:extLst>
        </xdr:cNvPr>
        <xdr:cNvCxnSpPr>
          <a:endCxn id="22" idx="3"/>
        </xdr:cNvCxnSpPr>
      </xdr:nvCxnSpPr>
      <xdr:spPr>
        <a:xfrm flipH="1">
          <a:off x="8041891" y="2405557"/>
          <a:ext cx="314326" cy="309072"/>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564360</xdr:colOff>
      <xdr:row>14</xdr:row>
      <xdr:rowOff>102395</xdr:rowOff>
    </xdr:from>
    <xdr:to>
      <xdr:col>12</xdr:col>
      <xdr:colOff>300042</xdr:colOff>
      <xdr:row>15</xdr:row>
      <xdr:rowOff>85725</xdr:rowOff>
    </xdr:to>
    <xdr:sp macro="" textlink="">
      <xdr:nvSpPr>
        <xdr:cNvPr id="21" name="Isosceles Triangle 20">
          <a:extLst>
            <a:ext uri="{FF2B5EF4-FFF2-40B4-BE49-F238E27FC236}">
              <a16:creationId xmlns:a16="http://schemas.microsoft.com/office/drawing/2014/main" id="{00000000-0008-0000-0A00-000015000000}"/>
            </a:ext>
          </a:extLst>
        </xdr:cNvPr>
        <xdr:cNvSpPr/>
      </xdr:nvSpPr>
      <xdr:spPr>
        <a:xfrm rot="16200000">
          <a:off x="7798598" y="2526507"/>
          <a:ext cx="164305" cy="383382"/>
        </a:xfrm>
        <a:prstGeom prst="triangl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b="1" cap="none" spc="0">
            <a:ln w="22225">
              <a:solidFill>
                <a:schemeClr val="accent2"/>
              </a:solidFill>
              <a:prstDash val="solid"/>
            </a:ln>
            <a:solidFill>
              <a:schemeClr val="accent2">
                <a:lumMod val="40000"/>
                <a:lumOff val="60000"/>
              </a:schemeClr>
            </a:solidFill>
            <a:effectLst/>
          </a:endParaRPr>
        </a:p>
      </xdr:txBody>
    </xdr:sp>
    <xdr:clientData/>
  </xdr:twoCellAnchor>
  <xdr:twoCellAnchor>
    <xdr:from>
      <xdr:col>12</xdr:col>
      <xdr:colOff>290512</xdr:colOff>
      <xdr:row>14</xdr:row>
      <xdr:rowOff>147639</xdr:rowOff>
    </xdr:from>
    <xdr:to>
      <xdr:col>14</xdr:col>
      <xdr:colOff>119063</xdr:colOff>
      <xdr:row>15</xdr:row>
      <xdr:rowOff>42868</xdr:rowOff>
    </xdr:to>
    <xdr:sp macro="" textlink="">
      <xdr:nvSpPr>
        <xdr:cNvPr id="22" name="Isosceles Triangle 21">
          <a:extLst>
            <a:ext uri="{FF2B5EF4-FFF2-40B4-BE49-F238E27FC236}">
              <a16:creationId xmlns:a16="http://schemas.microsoft.com/office/drawing/2014/main" id="{00000000-0008-0000-0A00-000016000000}"/>
            </a:ext>
          </a:extLst>
        </xdr:cNvPr>
        <xdr:cNvSpPr/>
      </xdr:nvSpPr>
      <xdr:spPr>
        <a:xfrm rot="5400000">
          <a:off x="8586786" y="2157415"/>
          <a:ext cx="76204" cy="1123951"/>
        </a:xfrm>
        <a:prstGeom prst="triangl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300042</xdr:colOff>
      <xdr:row>15</xdr:row>
      <xdr:rowOff>3737</xdr:rowOff>
    </xdr:from>
    <xdr:to>
      <xdr:col>12</xdr:col>
      <xdr:colOff>585789</xdr:colOff>
      <xdr:row>16</xdr:row>
      <xdr:rowOff>109538</xdr:rowOff>
    </xdr:to>
    <xdr:cxnSp macro="">
      <xdr:nvCxnSpPr>
        <xdr:cNvPr id="23" name="Straight Connector 22">
          <a:extLst>
            <a:ext uri="{FF2B5EF4-FFF2-40B4-BE49-F238E27FC236}">
              <a16:creationId xmlns:a16="http://schemas.microsoft.com/office/drawing/2014/main" id="{00000000-0008-0000-0A00-000017000000}"/>
            </a:ext>
          </a:extLst>
        </xdr:cNvPr>
        <xdr:cNvCxnSpPr>
          <a:endCxn id="21" idx="3"/>
        </xdr:cNvCxnSpPr>
      </xdr:nvCxnSpPr>
      <xdr:spPr>
        <a:xfrm flipH="1" flipV="1">
          <a:off x="8051421" y="2713436"/>
          <a:ext cx="285747" cy="286447"/>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647698</xdr:colOff>
      <xdr:row>5</xdr:row>
      <xdr:rowOff>23816</xdr:rowOff>
    </xdr:from>
    <xdr:to>
      <xdr:col>12</xdr:col>
      <xdr:colOff>638174</xdr:colOff>
      <xdr:row>5</xdr:row>
      <xdr:rowOff>123828</xdr:rowOff>
    </xdr:to>
    <xdr:sp macro="" textlink="">
      <xdr:nvSpPr>
        <xdr:cNvPr id="25" name="Left Brace 24">
          <a:extLst>
            <a:ext uri="{FF2B5EF4-FFF2-40B4-BE49-F238E27FC236}">
              <a16:creationId xmlns:a16="http://schemas.microsoft.com/office/drawing/2014/main" id="{00000000-0008-0000-0A00-000019000000}"/>
            </a:ext>
          </a:extLst>
        </xdr:cNvPr>
        <xdr:cNvSpPr/>
      </xdr:nvSpPr>
      <xdr:spPr>
        <a:xfrm rot="5400000">
          <a:off x="8041480" y="478634"/>
          <a:ext cx="100012" cy="638176"/>
        </a:xfrm>
        <a:prstGeom prst="lef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595313</xdr:colOff>
      <xdr:row>15</xdr:row>
      <xdr:rowOff>1</xdr:rowOff>
    </xdr:from>
    <xdr:to>
      <xdr:col>11</xdr:col>
      <xdr:colOff>414338</xdr:colOff>
      <xdr:row>15</xdr:row>
      <xdr:rowOff>1</xdr:rowOff>
    </xdr:to>
    <xdr:cxnSp macro="">
      <xdr:nvCxnSpPr>
        <xdr:cNvPr id="27" name="Straight Arrow Connector 26">
          <a:extLst>
            <a:ext uri="{FF2B5EF4-FFF2-40B4-BE49-F238E27FC236}">
              <a16:creationId xmlns:a16="http://schemas.microsoft.com/office/drawing/2014/main" id="{00000000-0008-0000-0A00-00001B000000}"/>
            </a:ext>
          </a:extLst>
        </xdr:cNvPr>
        <xdr:cNvCxnSpPr/>
      </xdr:nvCxnSpPr>
      <xdr:spPr>
        <a:xfrm flipH="1">
          <a:off x="7072313" y="2714626"/>
          <a:ext cx="46672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14</xdr:col>
      <xdr:colOff>423863</xdr:colOff>
      <xdr:row>14</xdr:row>
      <xdr:rowOff>171450</xdr:rowOff>
    </xdr:from>
    <xdr:to>
      <xdr:col>17</xdr:col>
      <xdr:colOff>333375</xdr:colOff>
      <xdr:row>14</xdr:row>
      <xdr:rowOff>171450</xdr:rowOff>
    </xdr:to>
    <xdr:cxnSp macro="">
      <xdr:nvCxnSpPr>
        <xdr:cNvPr id="29" name="Straight Arrow Connector 28">
          <a:extLst>
            <a:ext uri="{FF2B5EF4-FFF2-40B4-BE49-F238E27FC236}">
              <a16:creationId xmlns:a16="http://schemas.microsoft.com/office/drawing/2014/main" id="{00000000-0008-0000-0A00-00001D000000}"/>
            </a:ext>
          </a:extLst>
        </xdr:cNvPr>
        <xdr:cNvCxnSpPr/>
      </xdr:nvCxnSpPr>
      <xdr:spPr>
        <a:xfrm>
          <a:off x="9491663" y="2705100"/>
          <a:ext cx="1852612"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619125</xdr:colOff>
      <xdr:row>12</xdr:row>
      <xdr:rowOff>4763</xdr:rowOff>
    </xdr:from>
    <xdr:to>
      <xdr:col>16</xdr:col>
      <xdr:colOff>0</xdr:colOff>
      <xdr:row>12</xdr:row>
      <xdr:rowOff>4763</xdr:rowOff>
    </xdr:to>
    <xdr:cxnSp macro="">
      <xdr:nvCxnSpPr>
        <xdr:cNvPr id="4" name="Straight Arrow Connector 3">
          <a:extLst>
            <a:ext uri="{FF2B5EF4-FFF2-40B4-BE49-F238E27FC236}">
              <a16:creationId xmlns:a16="http://schemas.microsoft.com/office/drawing/2014/main" id="{00000000-0008-0000-0A00-000004000000}"/>
            </a:ext>
          </a:extLst>
        </xdr:cNvPr>
        <xdr:cNvCxnSpPr/>
      </xdr:nvCxnSpPr>
      <xdr:spPr>
        <a:xfrm>
          <a:off x="7743825" y="1995488"/>
          <a:ext cx="2619375"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640475</xdr:colOff>
      <xdr:row>18</xdr:row>
      <xdr:rowOff>0</xdr:rowOff>
    </xdr:from>
    <xdr:to>
      <xdr:col>17</xdr:col>
      <xdr:colOff>310814</xdr:colOff>
      <xdr:row>32</xdr:row>
      <xdr:rowOff>5014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666750</xdr:colOff>
          <xdr:row>7</xdr:row>
          <xdr:rowOff>166688</xdr:rowOff>
        </xdr:from>
        <xdr:to>
          <xdr:col>8</xdr:col>
          <xdr:colOff>4763</xdr:colOff>
          <xdr:row>8</xdr:row>
          <xdr:rowOff>176213</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B00-000002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71438</xdr:colOff>
          <xdr:row>44</xdr:row>
          <xdr:rowOff>33338</xdr:rowOff>
        </xdr:from>
        <xdr:to>
          <xdr:col>8</xdr:col>
          <xdr:colOff>566738</xdr:colOff>
          <xdr:row>45</xdr:row>
          <xdr:rowOff>147638</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B00-000003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85726</xdr:colOff>
      <xdr:row>4</xdr:row>
      <xdr:rowOff>166688</xdr:rowOff>
    </xdr:from>
    <xdr:to>
      <xdr:col>21</xdr:col>
      <xdr:colOff>561976</xdr:colOff>
      <xdr:row>26</xdr:row>
      <xdr:rowOff>176213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639176" y="890588"/>
              <a:ext cx="3962400" cy="40481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2652</xdr:colOff>
      <xdr:row>27</xdr:row>
      <xdr:rowOff>44618</xdr:rowOff>
    </xdr:from>
    <xdr:to>
      <xdr:col>22</xdr:col>
      <xdr:colOff>4763</xdr:colOff>
      <xdr:row>43</xdr:row>
      <xdr:rowOff>85725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576263</xdr:colOff>
          <xdr:row>21</xdr:row>
          <xdr:rowOff>4763</xdr:rowOff>
        </xdr:from>
        <xdr:to>
          <xdr:col>5</xdr:col>
          <xdr:colOff>4763</xdr:colOff>
          <xdr:row>22</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E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SOLVE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twoCellAnchor>
    <xdr:from>
      <xdr:col>8</xdr:col>
      <xdr:colOff>576263</xdr:colOff>
      <xdr:row>54</xdr:row>
      <xdr:rowOff>10887</xdr:rowOff>
    </xdr:from>
    <xdr:to>
      <xdr:col>20</xdr:col>
      <xdr:colOff>571499</xdr:colOff>
      <xdr:row>63</xdr:row>
      <xdr:rowOff>180976</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204788</xdr:colOff>
          <xdr:row>11</xdr:row>
          <xdr:rowOff>185738</xdr:rowOff>
        </xdr:from>
        <xdr:to>
          <xdr:col>6</xdr:col>
          <xdr:colOff>490538</xdr:colOff>
          <xdr:row>13</xdr:row>
          <xdr:rowOff>42863</xdr:rowOff>
        </xdr:to>
        <xdr:sp macro="" textlink="">
          <xdr:nvSpPr>
            <xdr:cNvPr id="7289" name="Check Box 121" hidden="1">
              <a:extLst>
                <a:ext uri="{63B3BB69-23CF-44E3-9099-C40C66FF867C}">
                  <a14:compatExt spid="_x0000_s7289"/>
                </a:ext>
                <a:ext uri="{FF2B5EF4-FFF2-40B4-BE49-F238E27FC236}">
                  <a16:creationId xmlns:a16="http://schemas.microsoft.com/office/drawing/2014/main" id="{00000000-0008-0000-0E00-00007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12</xdr:col>
      <xdr:colOff>11906</xdr:colOff>
      <xdr:row>8</xdr:row>
      <xdr:rowOff>178593</xdr:rowOff>
    </xdr:from>
    <xdr:to>
      <xdr:col>23</xdr:col>
      <xdr:colOff>447675</xdr:colOff>
      <xdr:row>22</xdr:row>
      <xdr:rowOff>14288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623888</xdr:colOff>
      <xdr:row>4</xdr:row>
      <xdr:rowOff>114299</xdr:rowOff>
    </xdr:from>
    <xdr:to>
      <xdr:col>3</xdr:col>
      <xdr:colOff>0</xdr:colOff>
      <xdr:row>4</xdr:row>
      <xdr:rowOff>114299</xdr:rowOff>
    </xdr:to>
    <xdr:cxnSp macro="">
      <xdr:nvCxnSpPr>
        <xdr:cNvPr id="3" name="Straight Arrow Connector 2">
          <a:extLst>
            <a:ext uri="{FF2B5EF4-FFF2-40B4-BE49-F238E27FC236}">
              <a16:creationId xmlns:a16="http://schemas.microsoft.com/office/drawing/2014/main" id="{00000000-0008-0000-1100-000003000000}"/>
            </a:ext>
          </a:extLst>
        </xdr:cNvPr>
        <xdr:cNvCxnSpPr/>
      </xdr:nvCxnSpPr>
      <xdr:spPr>
        <a:xfrm>
          <a:off x="1271588" y="1214437"/>
          <a:ext cx="671512"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4</xdr:col>
      <xdr:colOff>57149</xdr:colOff>
      <xdr:row>4</xdr:row>
      <xdr:rowOff>100012</xdr:rowOff>
    </xdr:from>
    <xdr:to>
      <xdr:col>4</xdr:col>
      <xdr:colOff>614362</xdr:colOff>
      <xdr:row>4</xdr:row>
      <xdr:rowOff>100012</xdr:rowOff>
    </xdr:to>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2709862" y="1200150"/>
          <a:ext cx="557213"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6</xdr:col>
      <xdr:colOff>4762</xdr:colOff>
      <xdr:row>4</xdr:row>
      <xdr:rowOff>95250</xdr:rowOff>
    </xdr:from>
    <xdr:to>
      <xdr:col>6</xdr:col>
      <xdr:colOff>557212</xdr:colOff>
      <xdr:row>4</xdr:row>
      <xdr:rowOff>95250</xdr:rowOff>
    </xdr:to>
    <xdr:cxnSp macro="">
      <xdr:nvCxnSpPr>
        <xdr:cNvPr id="13" name="Straight Arrow Connector 12">
          <a:extLst>
            <a:ext uri="{FF2B5EF4-FFF2-40B4-BE49-F238E27FC236}">
              <a16:creationId xmlns:a16="http://schemas.microsoft.com/office/drawing/2014/main" id="{00000000-0008-0000-1100-00000D000000}"/>
            </a:ext>
          </a:extLst>
        </xdr:cNvPr>
        <xdr:cNvCxnSpPr/>
      </xdr:nvCxnSpPr>
      <xdr:spPr>
        <a:xfrm>
          <a:off x="3952875" y="1195388"/>
          <a:ext cx="55245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271462</xdr:colOff>
      <xdr:row>6</xdr:row>
      <xdr:rowOff>0</xdr:rowOff>
    </xdr:from>
    <xdr:to>
      <xdr:col>3</xdr:col>
      <xdr:colOff>271462</xdr:colOff>
      <xdr:row>8</xdr:row>
      <xdr:rowOff>147637</xdr:rowOff>
    </xdr:to>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flipV="1">
          <a:off x="2214562" y="1462088"/>
          <a:ext cx="0" cy="509587"/>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21430</xdr:colOff>
      <xdr:row>25</xdr:row>
      <xdr:rowOff>150020</xdr:rowOff>
    </xdr:from>
    <xdr:to>
      <xdr:col>16</xdr:col>
      <xdr:colOff>633412</xdr:colOff>
      <xdr:row>32</xdr:row>
      <xdr:rowOff>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166687</xdr:colOff>
      <xdr:row>8</xdr:row>
      <xdr:rowOff>9525</xdr:rowOff>
    </xdr:from>
    <xdr:to>
      <xdr:col>18</xdr:col>
      <xdr:colOff>166687</xdr:colOff>
      <xdr:row>10</xdr:row>
      <xdr:rowOff>19050</xdr:rowOff>
    </xdr:to>
    <xdr:cxnSp macro="">
      <xdr:nvCxnSpPr>
        <xdr:cNvPr id="3" name="Straight Connector 2">
          <a:extLst>
            <a:ext uri="{FF2B5EF4-FFF2-40B4-BE49-F238E27FC236}">
              <a16:creationId xmlns:a16="http://schemas.microsoft.com/office/drawing/2014/main" id="{00000000-0008-0000-1300-000003000000}"/>
            </a:ext>
          </a:extLst>
        </xdr:cNvPr>
        <xdr:cNvCxnSpPr/>
      </xdr:nvCxnSpPr>
      <xdr:spPr>
        <a:xfrm>
          <a:off x="7148512" y="1481138"/>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18</xdr:col>
      <xdr:colOff>171450</xdr:colOff>
      <xdr:row>10</xdr:row>
      <xdr:rowOff>161925</xdr:rowOff>
    </xdr:from>
    <xdr:to>
      <xdr:col>18</xdr:col>
      <xdr:colOff>171450</xdr:colOff>
      <xdr:row>12</xdr:row>
      <xdr:rowOff>180974</xdr:rowOff>
    </xdr:to>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53275" y="2009775"/>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24</xdr:col>
      <xdr:colOff>476249</xdr:colOff>
      <xdr:row>8</xdr:row>
      <xdr:rowOff>9524</xdr:rowOff>
    </xdr:from>
    <xdr:to>
      <xdr:col>24</xdr:col>
      <xdr:colOff>476249</xdr:colOff>
      <xdr:row>10</xdr:row>
      <xdr:rowOff>19049</xdr:rowOff>
    </xdr:to>
    <xdr:cxnSp macro="">
      <xdr:nvCxnSpPr>
        <xdr:cNvPr id="6" name="Straight Connector 5">
          <a:extLst>
            <a:ext uri="{FF2B5EF4-FFF2-40B4-BE49-F238E27FC236}">
              <a16:creationId xmlns:a16="http://schemas.microsoft.com/office/drawing/2014/main" id="{00000000-0008-0000-1300-000006000000}"/>
            </a:ext>
          </a:extLst>
        </xdr:cNvPr>
        <xdr:cNvCxnSpPr/>
      </xdr:nvCxnSpPr>
      <xdr:spPr>
        <a:xfrm>
          <a:off x="10234612" y="1481137"/>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25</xdr:col>
      <xdr:colOff>9524</xdr:colOff>
      <xdr:row>10</xdr:row>
      <xdr:rowOff>176212</xdr:rowOff>
    </xdr:from>
    <xdr:to>
      <xdr:col>25</xdr:col>
      <xdr:colOff>9524</xdr:colOff>
      <xdr:row>13</xdr:row>
      <xdr:rowOff>4761</xdr:rowOff>
    </xdr:to>
    <xdr:cxnSp macro="">
      <xdr:nvCxnSpPr>
        <xdr:cNvPr id="7" name="Straight Connector 6">
          <a:extLst>
            <a:ext uri="{FF2B5EF4-FFF2-40B4-BE49-F238E27FC236}">
              <a16:creationId xmlns:a16="http://schemas.microsoft.com/office/drawing/2014/main" id="{00000000-0008-0000-1300-000007000000}"/>
            </a:ext>
          </a:extLst>
        </xdr:cNvPr>
        <xdr:cNvCxnSpPr/>
      </xdr:nvCxnSpPr>
      <xdr:spPr>
        <a:xfrm>
          <a:off x="10244137" y="2024062"/>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21</xdr:col>
      <xdr:colOff>19050</xdr:colOff>
      <xdr:row>15</xdr:row>
      <xdr:rowOff>9525</xdr:rowOff>
    </xdr:from>
    <xdr:to>
      <xdr:col>22</xdr:col>
      <xdr:colOff>276225</xdr:colOff>
      <xdr:row>15</xdr:row>
      <xdr:rowOff>9525</xdr:rowOff>
    </xdr:to>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a:off x="8943975" y="2781300"/>
          <a:ext cx="53340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20</xdr:col>
      <xdr:colOff>642937</xdr:colOff>
      <xdr:row>6</xdr:row>
      <xdr:rowOff>0</xdr:rowOff>
    </xdr:from>
    <xdr:to>
      <xdr:col>22</xdr:col>
      <xdr:colOff>252412</xdr:colOff>
      <xdr:row>6</xdr:row>
      <xdr:rowOff>0</xdr:rowOff>
    </xdr:to>
    <xdr:cxnSp macro="">
      <xdr:nvCxnSpPr>
        <xdr:cNvPr id="12" name="Straight Arrow Connector 11">
          <a:extLst>
            <a:ext uri="{FF2B5EF4-FFF2-40B4-BE49-F238E27FC236}">
              <a16:creationId xmlns:a16="http://schemas.microsoft.com/office/drawing/2014/main" id="{00000000-0008-0000-1300-00000C000000}"/>
            </a:ext>
          </a:extLst>
        </xdr:cNvPr>
        <xdr:cNvCxnSpPr/>
      </xdr:nvCxnSpPr>
      <xdr:spPr>
        <a:xfrm>
          <a:off x="8920162" y="1104900"/>
          <a:ext cx="533400"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11</xdr:col>
      <xdr:colOff>347661</xdr:colOff>
      <xdr:row>8</xdr:row>
      <xdr:rowOff>0</xdr:rowOff>
    </xdr:from>
    <xdr:to>
      <xdr:col>11</xdr:col>
      <xdr:colOff>347661</xdr:colOff>
      <xdr:row>10</xdr:row>
      <xdr:rowOff>9525</xdr:rowOff>
    </xdr:to>
    <xdr:cxnSp macro="">
      <xdr:nvCxnSpPr>
        <xdr:cNvPr id="13" name="Straight Connector 12">
          <a:extLst>
            <a:ext uri="{FF2B5EF4-FFF2-40B4-BE49-F238E27FC236}">
              <a16:creationId xmlns:a16="http://schemas.microsoft.com/office/drawing/2014/main" id="{00000000-0008-0000-1300-00000D000000}"/>
            </a:ext>
          </a:extLst>
        </xdr:cNvPr>
        <xdr:cNvCxnSpPr/>
      </xdr:nvCxnSpPr>
      <xdr:spPr>
        <a:xfrm>
          <a:off x="4181474" y="1481138"/>
          <a:ext cx="0" cy="38576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16</xdr:col>
      <xdr:colOff>9525</xdr:colOff>
      <xdr:row>2</xdr:row>
      <xdr:rowOff>14288</xdr:rowOff>
    </xdr:from>
    <xdr:to>
      <xdr:col>16</xdr:col>
      <xdr:colOff>9525</xdr:colOff>
      <xdr:row>8</xdr:row>
      <xdr:rowOff>171450</xdr:rowOff>
    </xdr:to>
    <xdr:cxnSp macro="">
      <xdr:nvCxnSpPr>
        <xdr:cNvPr id="26" name="Straight Arrow Connector 25">
          <a:extLst>
            <a:ext uri="{FF2B5EF4-FFF2-40B4-BE49-F238E27FC236}">
              <a16:creationId xmlns:a16="http://schemas.microsoft.com/office/drawing/2014/main" id="{00000000-0008-0000-1300-00001A000000}"/>
            </a:ext>
          </a:extLst>
        </xdr:cNvPr>
        <xdr:cNvCxnSpPr/>
      </xdr:nvCxnSpPr>
      <xdr:spPr>
        <a:xfrm flipV="1">
          <a:off x="6391275" y="376238"/>
          <a:ext cx="0" cy="12763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2</xdr:row>
      <xdr:rowOff>28575</xdr:rowOff>
    </xdr:from>
    <xdr:to>
      <xdr:col>22</xdr:col>
      <xdr:colOff>0</xdr:colOff>
      <xdr:row>9</xdr:row>
      <xdr:rowOff>19051</xdr:rowOff>
    </xdr:to>
    <xdr:cxnSp macro="">
      <xdr:nvCxnSpPr>
        <xdr:cNvPr id="27" name="Straight Arrow Connector 26">
          <a:extLst>
            <a:ext uri="{FF2B5EF4-FFF2-40B4-BE49-F238E27FC236}">
              <a16:creationId xmlns:a16="http://schemas.microsoft.com/office/drawing/2014/main" id="{00000000-0008-0000-1300-00001B000000}"/>
            </a:ext>
          </a:extLst>
        </xdr:cNvPr>
        <xdr:cNvCxnSpPr/>
      </xdr:nvCxnSpPr>
      <xdr:spPr>
        <a:xfrm flipV="1">
          <a:off x="9105900" y="390525"/>
          <a:ext cx="0" cy="13001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309128</xdr:colOff>
      <xdr:row>8</xdr:row>
      <xdr:rowOff>9488</xdr:rowOff>
    </xdr:from>
    <xdr:to>
      <xdr:col>68</xdr:col>
      <xdr:colOff>309128</xdr:colOff>
      <xdr:row>13</xdr:row>
      <xdr:rowOff>1293</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flipV="1">
          <a:off x="6971913" y="11043399"/>
          <a:ext cx="0" cy="9112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70389</xdr:colOff>
      <xdr:row>10</xdr:row>
      <xdr:rowOff>183378</xdr:rowOff>
    </xdr:from>
    <xdr:to>
      <xdr:col>70</xdr:col>
      <xdr:colOff>70389</xdr:colOff>
      <xdr:row>13</xdr:row>
      <xdr:rowOff>4623</xdr:rowOff>
    </xdr:to>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534692" y="11833186"/>
          <a:ext cx="0" cy="384502"/>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twoCellAnchor>
    <xdr:from>
      <xdr:col>68</xdr:col>
      <xdr:colOff>147293</xdr:colOff>
      <xdr:row>9</xdr:row>
      <xdr:rowOff>29458</xdr:rowOff>
    </xdr:from>
    <xdr:to>
      <xdr:col>68</xdr:col>
      <xdr:colOff>325133</xdr:colOff>
      <xdr:row>11</xdr:row>
      <xdr:rowOff>176752</xdr:rowOff>
    </xdr:to>
    <xdr:sp macro="" textlink="">
      <xdr:nvSpPr>
        <xdr:cNvPr id="10" name="Right Brace 9">
          <a:extLst>
            <a:ext uri="{FF2B5EF4-FFF2-40B4-BE49-F238E27FC236}">
              <a16:creationId xmlns:a16="http://schemas.microsoft.com/office/drawing/2014/main" id="{00000000-0008-0000-1300-00000A000000}"/>
            </a:ext>
          </a:extLst>
        </xdr:cNvPr>
        <xdr:cNvSpPr/>
      </xdr:nvSpPr>
      <xdr:spPr>
        <a:xfrm>
          <a:off x="6750682" y="11491514"/>
          <a:ext cx="177840" cy="522799"/>
        </a:xfrm>
        <a:prstGeom prst="rightBrace">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61</xdr:col>
      <xdr:colOff>319138</xdr:colOff>
      <xdr:row>9</xdr:row>
      <xdr:rowOff>14925</xdr:rowOff>
    </xdr:from>
    <xdr:to>
      <xdr:col>61</xdr:col>
      <xdr:colOff>417530</xdr:colOff>
      <xdr:row>11</xdr:row>
      <xdr:rowOff>162219</xdr:rowOff>
    </xdr:to>
    <xdr:sp macro="" textlink="">
      <xdr:nvSpPr>
        <xdr:cNvPr id="18" name="Right Brace 17">
          <a:extLst>
            <a:ext uri="{FF2B5EF4-FFF2-40B4-BE49-F238E27FC236}">
              <a16:creationId xmlns:a16="http://schemas.microsoft.com/office/drawing/2014/main" id="{00000000-0008-0000-1300-000012000000}"/>
            </a:ext>
          </a:extLst>
        </xdr:cNvPr>
        <xdr:cNvSpPr/>
      </xdr:nvSpPr>
      <xdr:spPr>
        <a:xfrm flipH="1">
          <a:off x="3048983" y="11390918"/>
          <a:ext cx="98392" cy="520438"/>
        </a:xfrm>
        <a:prstGeom prst="rightBrace">
          <a:avLst/>
        </a:prstGeom>
      </xdr:spPr>
      <xdr:style>
        <a:lnRef idx="3">
          <a:schemeClr val="dk1"/>
        </a:lnRef>
        <a:fillRef idx="0">
          <a:schemeClr val="dk1"/>
        </a:fillRef>
        <a:effectRef idx="2">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75</xdr:col>
      <xdr:colOff>136745</xdr:colOff>
      <xdr:row>12</xdr:row>
      <xdr:rowOff>9431</xdr:rowOff>
    </xdr:from>
    <xdr:to>
      <xdr:col>75</xdr:col>
      <xdr:colOff>136745</xdr:colOff>
      <xdr:row>13</xdr:row>
      <xdr:rowOff>4715</xdr:rowOff>
    </xdr:to>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flipV="1">
          <a:off x="9567438" y="11778936"/>
          <a:ext cx="0" cy="17918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12</xdr:col>
      <xdr:colOff>304797</xdr:colOff>
      <xdr:row>17</xdr:row>
      <xdr:rowOff>23813</xdr:rowOff>
    </xdr:from>
    <xdr:to>
      <xdr:col>22</xdr:col>
      <xdr:colOff>4762</xdr:colOff>
      <xdr:row>18</xdr:row>
      <xdr:rowOff>109538</xdr:rowOff>
    </xdr:to>
    <xdr:sp macro="" textlink="">
      <xdr:nvSpPr>
        <xdr:cNvPr id="8" name="Right Bracket 7">
          <a:extLst>
            <a:ext uri="{FF2B5EF4-FFF2-40B4-BE49-F238E27FC236}">
              <a16:creationId xmlns:a16="http://schemas.microsoft.com/office/drawing/2014/main" id="{00000000-0008-0000-1300-000008000000}"/>
            </a:ext>
          </a:extLst>
        </xdr:cNvPr>
        <xdr:cNvSpPr/>
      </xdr:nvSpPr>
      <xdr:spPr>
        <a:xfrm rot="5400000">
          <a:off x="6819899" y="1462087"/>
          <a:ext cx="271462" cy="3748090"/>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xdr:twoCellAnchor>
    <xdr:from>
      <xdr:col>14</xdr:col>
      <xdr:colOff>419100</xdr:colOff>
      <xdr:row>12</xdr:row>
      <xdr:rowOff>19050</xdr:rowOff>
    </xdr:from>
    <xdr:to>
      <xdr:col>14</xdr:col>
      <xdr:colOff>419100</xdr:colOff>
      <xdr:row>13</xdr:row>
      <xdr:rowOff>171450</xdr:rowOff>
    </xdr:to>
    <xdr:cxnSp macro="">
      <xdr:nvCxnSpPr>
        <xdr:cNvPr id="21" name="Straight Arrow Connector 20">
          <a:extLst>
            <a:ext uri="{FF2B5EF4-FFF2-40B4-BE49-F238E27FC236}">
              <a16:creationId xmlns:a16="http://schemas.microsoft.com/office/drawing/2014/main" id="{00000000-0008-0000-1300-000015000000}"/>
            </a:ext>
          </a:extLst>
        </xdr:cNvPr>
        <xdr:cNvCxnSpPr/>
      </xdr:nvCxnSpPr>
      <xdr:spPr>
        <a:xfrm flipV="1">
          <a:off x="5995988" y="2262188"/>
          <a:ext cx="0" cy="34290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3</xdr:col>
      <xdr:colOff>23812</xdr:colOff>
      <xdr:row>17</xdr:row>
      <xdr:rowOff>9529</xdr:rowOff>
    </xdr:from>
    <xdr:to>
      <xdr:col>9</xdr:col>
      <xdr:colOff>333375</xdr:colOff>
      <xdr:row>18</xdr:row>
      <xdr:rowOff>100013</xdr:rowOff>
    </xdr:to>
    <xdr:sp macro="" textlink="">
      <xdr:nvSpPr>
        <xdr:cNvPr id="25" name="Right Bracket 24">
          <a:extLst>
            <a:ext uri="{FF2B5EF4-FFF2-40B4-BE49-F238E27FC236}">
              <a16:creationId xmlns:a16="http://schemas.microsoft.com/office/drawing/2014/main" id="{00000000-0008-0000-1300-000019000000}"/>
            </a:ext>
          </a:extLst>
        </xdr:cNvPr>
        <xdr:cNvSpPr/>
      </xdr:nvSpPr>
      <xdr:spPr>
        <a:xfrm rot="5400000">
          <a:off x="2459833" y="1931196"/>
          <a:ext cx="276221" cy="2786063"/>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xdr:twoCellAnchor>
    <xdr:from>
      <xdr:col>23</xdr:col>
      <xdr:colOff>4759</xdr:colOff>
      <xdr:row>17</xdr:row>
      <xdr:rowOff>9526</xdr:rowOff>
    </xdr:from>
    <xdr:to>
      <xdr:col>27</xdr:col>
      <xdr:colOff>14287</xdr:colOff>
      <xdr:row>18</xdr:row>
      <xdr:rowOff>104775</xdr:rowOff>
    </xdr:to>
    <xdr:sp macro="" textlink="">
      <xdr:nvSpPr>
        <xdr:cNvPr id="28" name="Right Bracket 27">
          <a:extLst>
            <a:ext uri="{FF2B5EF4-FFF2-40B4-BE49-F238E27FC236}">
              <a16:creationId xmlns:a16="http://schemas.microsoft.com/office/drawing/2014/main" id="{00000000-0008-0000-1300-00001C000000}"/>
            </a:ext>
          </a:extLst>
        </xdr:cNvPr>
        <xdr:cNvSpPr/>
      </xdr:nvSpPr>
      <xdr:spPr>
        <a:xfrm rot="5400000">
          <a:off x="9989343" y="2326480"/>
          <a:ext cx="280986" cy="2000253"/>
        </a:xfrm>
        <a:prstGeom prst="rightBracket">
          <a:avLst/>
        </a:prstGeom>
      </xdr:spPr>
      <xdr:style>
        <a:lnRef idx="2">
          <a:schemeClr val="accent6"/>
        </a:lnRef>
        <a:fillRef idx="0">
          <a:schemeClr val="accent6"/>
        </a:fillRef>
        <a:effectRef idx="1">
          <a:schemeClr val="accent6"/>
        </a:effectRef>
        <a:fontRef idx="minor">
          <a:schemeClr val="tx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20</xdr:col>
          <xdr:colOff>571500</xdr:colOff>
          <xdr:row>29</xdr:row>
          <xdr:rowOff>9525</xdr:rowOff>
        </xdr:from>
        <xdr:to>
          <xdr:col>21</xdr:col>
          <xdr:colOff>276225</xdr:colOff>
          <xdr:row>31</xdr:row>
          <xdr:rowOff>0</xdr:rowOff>
        </xdr:to>
        <xdr:sp macro="" textlink="">
          <xdr:nvSpPr>
            <xdr:cNvPr id="92167" name="Spinner 7" hidden="1">
              <a:extLst>
                <a:ext uri="{63B3BB69-23CF-44E3-9099-C40C66FF867C}">
                  <a14:compatExt spid="_x0000_s92167"/>
                </a:ext>
                <a:ext uri="{FF2B5EF4-FFF2-40B4-BE49-F238E27FC236}">
                  <a16:creationId xmlns:a16="http://schemas.microsoft.com/office/drawing/2014/main" id="{00000000-0008-0000-1300-0000076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20</xdr:col>
      <xdr:colOff>290512</xdr:colOff>
      <xdr:row>37</xdr:row>
      <xdr:rowOff>4763</xdr:rowOff>
    </xdr:from>
    <xdr:to>
      <xdr:col>20</xdr:col>
      <xdr:colOff>290512</xdr:colOff>
      <xdr:row>37</xdr:row>
      <xdr:rowOff>180975</xdr:rowOff>
    </xdr:to>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8267700" y="6819901"/>
          <a:ext cx="0" cy="176212"/>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28575</xdr:colOff>
      <xdr:row>10</xdr:row>
      <xdr:rowOff>14288</xdr:rowOff>
    </xdr:from>
    <xdr:to>
      <xdr:col>19</xdr:col>
      <xdr:colOff>523875</xdr:colOff>
      <xdr:row>21</xdr:row>
      <xdr:rowOff>157162</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509588</xdr:colOff>
      <xdr:row>3</xdr:row>
      <xdr:rowOff>71438</xdr:rowOff>
    </xdr:from>
    <xdr:to>
      <xdr:col>6</xdr:col>
      <xdr:colOff>0</xdr:colOff>
      <xdr:row>44</xdr:row>
      <xdr:rowOff>171451</xdr:rowOff>
    </xdr:to>
    <xdr:sp macro="" textlink="">
      <xdr:nvSpPr>
        <xdr:cNvPr id="3" name="Left Brace 2">
          <a:extLst>
            <a:ext uri="{FF2B5EF4-FFF2-40B4-BE49-F238E27FC236}">
              <a16:creationId xmlns:a16="http://schemas.microsoft.com/office/drawing/2014/main" id="{00000000-0008-0000-1500-000003000000}"/>
            </a:ext>
          </a:extLst>
        </xdr:cNvPr>
        <xdr:cNvSpPr/>
      </xdr:nvSpPr>
      <xdr:spPr>
        <a:xfrm>
          <a:off x="2976563" y="614363"/>
          <a:ext cx="461962" cy="7148513"/>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547687</xdr:colOff>
      <xdr:row>48</xdr:row>
      <xdr:rowOff>23813</xdr:rowOff>
    </xdr:from>
    <xdr:to>
      <xdr:col>6</xdr:col>
      <xdr:colOff>14288</xdr:colOff>
      <xdr:row>70</xdr:row>
      <xdr:rowOff>14288</xdr:rowOff>
    </xdr:to>
    <xdr:sp macro="" textlink="">
      <xdr:nvSpPr>
        <xdr:cNvPr id="4" name="Left Brace 3">
          <a:extLst>
            <a:ext uri="{FF2B5EF4-FFF2-40B4-BE49-F238E27FC236}">
              <a16:creationId xmlns:a16="http://schemas.microsoft.com/office/drawing/2014/main" id="{00000000-0008-0000-1500-000004000000}"/>
            </a:ext>
          </a:extLst>
        </xdr:cNvPr>
        <xdr:cNvSpPr/>
      </xdr:nvSpPr>
      <xdr:spPr>
        <a:xfrm>
          <a:off x="3014662" y="8339138"/>
          <a:ext cx="438151" cy="4019550"/>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538163</xdr:colOff>
      <xdr:row>74</xdr:row>
      <xdr:rowOff>9525</xdr:rowOff>
    </xdr:from>
    <xdr:to>
      <xdr:col>5</xdr:col>
      <xdr:colOff>352426</xdr:colOff>
      <xdr:row>85</xdr:row>
      <xdr:rowOff>176212</xdr:rowOff>
    </xdr:to>
    <xdr:sp macro="" textlink="">
      <xdr:nvSpPr>
        <xdr:cNvPr id="5" name="Left Brace 4">
          <a:extLst>
            <a:ext uri="{FF2B5EF4-FFF2-40B4-BE49-F238E27FC236}">
              <a16:creationId xmlns:a16="http://schemas.microsoft.com/office/drawing/2014/main" id="{00000000-0008-0000-1500-000005000000}"/>
            </a:ext>
          </a:extLst>
        </xdr:cNvPr>
        <xdr:cNvSpPr/>
      </xdr:nvSpPr>
      <xdr:spPr>
        <a:xfrm>
          <a:off x="3005138" y="13444538"/>
          <a:ext cx="428626" cy="2157412"/>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538163</xdr:colOff>
      <xdr:row>97</xdr:row>
      <xdr:rowOff>28575</xdr:rowOff>
    </xdr:from>
    <xdr:to>
      <xdr:col>6</xdr:col>
      <xdr:colOff>1</xdr:colOff>
      <xdr:row>112</xdr:row>
      <xdr:rowOff>47625</xdr:rowOff>
    </xdr:to>
    <xdr:sp macro="" textlink="">
      <xdr:nvSpPr>
        <xdr:cNvPr id="6" name="Left Brace 5">
          <a:extLst>
            <a:ext uri="{FF2B5EF4-FFF2-40B4-BE49-F238E27FC236}">
              <a16:creationId xmlns:a16="http://schemas.microsoft.com/office/drawing/2014/main" id="{00000000-0008-0000-1500-000006000000}"/>
            </a:ext>
          </a:extLst>
        </xdr:cNvPr>
        <xdr:cNvSpPr/>
      </xdr:nvSpPr>
      <xdr:spPr>
        <a:xfrm>
          <a:off x="3005138" y="15630525"/>
          <a:ext cx="433388" cy="2733675"/>
        </a:xfrm>
        <a:prstGeom prst="leftBrace">
          <a:avLst>
            <a:gd name="adj1" fmla="val 8333"/>
            <a:gd name="adj2" fmla="val 49647"/>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SOLVER/SOLVER.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lverCode"/>
      <sheetName val="VBA_Functions"/>
      <sheetName val="Language"/>
      <sheetName val="Report"/>
      <sheetName val="1028"/>
      <sheetName val="1029"/>
      <sheetName val="1030"/>
      <sheetName val="1031"/>
      <sheetName val="1032"/>
      <sheetName val="1033"/>
      <sheetName val="1035"/>
      <sheetName val="1036"/>
      <sheetName val="1038"/>
      <sheetName val="1040"/>
      <sheetName val="1041"/>
      <sheetName val="1042"/>
      <sheetName val="1043"/>
      <sheetName val="1044"/>
      <sheetName val="1045"/>
      <sheetName val="1046"/>
      <sheetName val="1048"/>
      <sheetName val="1049"/>
      <sheetName val="1050"/>
      <sheetName val="1051"/>
      <sheetName val="1053"/>
      <sheetName val="1055"/>
      <sheetName val="1058"/>
      <sheetName val="1060"/>
      <sheetName val="2052"/>
      <sheetName val="2070"/>
      <sheetName val="3082"/>
      <sheetName val="Solver_dialog"/>
      <sheetName val="Add_dialog"/>
      <sheetName val="Save_dialog"/>
    </sheetNames>
    <definedNames>
      <definedName name="SolveModel"/>
    </definedNames>
    <sheetDataSet>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153B29-1969-438F-9B3F-66B6DAE2480E}" name="Radiators" displayName="Radiators" ref="A2:E17" totalsRowShown="0" headerRowDxfId="39" headerRowBorderDxfId="38" tableBorderDxfId="37">
  <autoFilter ref="A2:E17" xr:uid="{FDA0080B-CD40-4532-9081-B796B5619261}"/>
  <tableColumns count="5">
    <tableColumn id="1" xr3:uid="{9DF156F7-7281-4B80-B3E0-F937AB3DA9FA}" name="ref" dataDxfId="36"/>
    <tableColumn id="2" xr3:uid="{8A2BA1A5-35B9-45DD-AE95-07C929DD0A21}" name="name" dataDxfId="35"/>
    <tableColumn id="3" xr3:uid="{9C0A7CBC-2CE0-471A-B88C-471A01850B76}" name="op temp(K)" dataDxfId="34"/>
    <tableColumn id="4" xr3:uid="{FC9EC29B-DC21-4659-96E8-EEEEF84057F0}" name="Msp.radA (kgm^-2)" dataDxfId="33"/>
    <tableColumn id="5" xr3:uid="{4931D19D-DCA1-4C62-B332-1ADD932E54D3}" name="Psp.radA (kWm^-2)" dataDxfId="32">
      <calculatedColumnFormula>0.0000000567*Radiators[[#This Row],[op temp(K)]]^4/1000*0.85</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17ADD87-BB35-4AEA-A2A7-16A44C23A8A5}" name="Evaporators" displayName="Evaporators" ref="H2:P6" totalsRowShown="0" headerRowDxfId="31" headerRowBorderDxfId="30" tableBorderDxfId="29" totalsRowBorderDxfId="28">
  <autoFilter ref="H2:P6" xr:uid="{F782FF14-70A5-407A-B467-E4CA3DBB10F6}"/>
  <tableColumns count="9">
    <tableColumn id="1" xr3:uid="{C119C0E0-E5C2-4045-A03F-0BD40A939F68}" name="ref" dataDxfId="27"/>
    <tableColumn id="2" xr3:uid="{A00B5A9B-10DE-48A1-BF9A-D66585981A45}" name="name" dataDxfId="26"/>
    <tableColumn id="3" xr3:uid="{0DE81CF4-0868-455B-B2C0-06F2DF531C35}" name="material ref" dataDxfId="25"/>
    <tableColumn id="4" xr3:uid="{6521CEE9-05E3-42DE-B65D-57B50CEFEC44}" name="p.change point (K)" dataDxfId="24"/>
    <tableColumn id="5" xr3:uid="{B0491C20-EF4E-4E8B-AD89-DF4A4F3766A5}" name="Hc (kJkg^-1)" dataDxfId="23">
      <calculatedColumnFormula>N3/O3</calculatedColumnFormula>
    </tableColumn>
    <tableColumn id="6" xr3:uid="{0AB14C8C-21E7-45F6-B96A-06BCEDC4A211}" name="Hc (kJm^-3)" dataDxfId="22">
      <calculatedColumnFormula>L3*P3</calculatedColumnFormula>
    </tableColumn>
    <tableColumn id="7" xr3:uid="{8BC21045-D398-4361-B2E1-2790ADC6CA39}" name="Hc (Jmol^-1)" dataDxfId="21"/>
    <tableColumn id="8" xr3:uid="{360D22FA-6D0E-4F9D-80C4-A155D63891B0}" name="Z (gmol^-1)" dataDxfId="20">
      <calculatedColumnFormula>LOOKUP(J3,Materials[[#All],[Refe-rence]],Materials[[#All],[Molar mass (g/mol)]])</calculatedColumnFormula>
    </tableColumn>
    <tableColumn id="9" xr3:uid="{4E6AC84A-6D73-4173-AEB8-71A2D8C8CB78}" name="density (kgm^-3)" dataDxfId="19"/>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59ECBE-182C-46EB-8F44-6AB290549150}" name="Materials" displayName="Materials" ref="A1:AT1048576" totalsRowShown="0" headerRowDxfId="18" headerRowCellStyle="Normal" dataCellStyle="Normal">
  <autoFilter ref="A1:AT1048576" xr:uid="{B5F2B543-1BFE-4F83-BC1F-1168547F21C7}"/>
  <sortState xmlns:xlrd2="http://schemas.microsoft.com/office/spreadsheetml/2017/richdata2" ref="A2:AS223">
    <sortCondition ref="A1:A1048576"/>
  </sortState>
  <tableColumns count="46">
    <tableColumn id="1" xr3:uid="{9383B742-C804-42EB-92CB-D2A9E3DF48C2}" name="Refe-rence" dataCellStyle="Normal"/>
    <tableColumn id="2" xr3:uid="{E08002B2-C47C-44F4-BAF2-3AD57EDB5039}" name="Material" dataCellStyle="Normal"/>
    <tableColumn id="39" xr3:uid="{D714DD4E-6AA3-4E77-9B90-ECA25FC3EE88}" name="Classifi-cation" dataCellStyle="Normal"/>
    <tableColumn id="3" xr3:uid="{7F22520D-5D61-4846-AFA5-B069AC6396C4}" name="Atomic Lasing Density (m3)" dataCellStyle="Normal"/>
    <tableColumn id="4" xr3:uid="{95D3A7F6-E141-4EA3-8E35-70F4B7AD0255}" name="Band Gap (eV)" dataCellStyle="Normal"/>
    <tableColumn id="5" xr3:uid="{38EFF7A5-6CC6-467A-99FC-20DB45C6B31F}" name="Boiling Point (K)" dataCellStyle="Normal"/>
    <tableColumn id="6" xr3:uid="{B4FCCFE7-4A14-4E14-8F4A-BBE4C8B8378E}" name="Bulk Modulus (Gpa)" dataCellStyle="Normal"/>
    <tableColumn id="7" xr3:uid="{3D71CA56-E1A6-4C49-8578-C9D262B9DF0B}" name="Density (kg/m3)" dataCellStyle="Normal"/>
    <tableColumn id="43" xr3:uid="{4CE021BD-9F65-4A73-B5D9-812D06B8D0EA}" name="Melted Density (kg/m3)" dataCellStyle="Normal"/>
    <tableColumn id="8" xr3:uid="{9F1D874E-4EE5-4C97-AB49-0826E752EC31}" name="Dielectric Strength (MV/m)" dataCellStyle="Normal"/>
    <tableColumn id="9" xr3:uid="{0159580A-DCBC-4690-B5BD-6DB902D75616}" name="Enthalpy Of Formation (kJ/mol)" dataCellStyle="Normal"/>
    <tableColumn id="10" xr3:uid="{30D9F90C-B2F7-4089-81DA-850487993FEA}" name="External Angular Sensitivity (m/radians)" dataCellStyle="Normal"/>
    <tableColumn id="11" xr3:uid="{0D118267-FB63-4A19-83A7-F600848DD67C}" name="Gibbs Free Energy Of Formation (kJ/mol)" dataCellStyle="Normal"/>
    <tableColumn id="12" xr3:uid="{562FBC6F-2423-47E0-975A-45D863C2C7D7}" name="IsABio-material" dataCellStyle="Normal"/>
    <tableColumn id="13" xr3:uid="{D5D33EBC-13D9-40CF-9A6A-0F1E236B53BC}" name="Is Fibrous" dataCellStyle="Normal"/>
    <tableColumn id="14" xr3:uid="{A54F4A47-5C54-4502-B8FA-995E0DE98481}" name="IsNano-structured" dataCellStyle="Normal"/>
    <tableColumn id="15" xr3:uid="{44DAE48C-78E1-4F90-AFB7-317D96A44806}" name="Is Porous" dataCellStyle="Normal"/>
    <tableColumn id="16" xr3:uid="{A4E6BCCE-D98A-4CEE-9B9B-CA5B1517BB8E}" name="IsThree LevelPump Scheme" dataCellStyle="Normal"/>
    <tableColumn id="17" xr3:uid="{94F616AA-0248-4751-8547-1C7FE3384B21}" name="Lasing Damage Threshold (TW/m2)" dataCellStyle="Normal"/>
    <tableColumn id="18" xr3:uid="{4A9E1967-3F91-4AD0-8FFF-A26FA7D44E0A}" name="Melting Point(K)" dataCellStyle="Normal"/>
    <tableColumn id="19" xr3:uid="{8F6E194B-8FF5-47C7-B9C5-F41D43F7C084}" name="OpticalNon-linearityCo-efficient(pm/V)" dataCellStyle="Normal"/>
    <tableColumn id="20" xr3:uid="{E74A1E59-0F81-405A-AEEE-6D443FCA9005}" name="Relative Permeability" dataCellStyle="Normal"/>
    <tableColumn id="21" xr3:uid="{52D147A8-737E-448B-A94F-A4CE7A64197A}" name="Relative Permittivity" dataCellStyle="Normal"/>
    <tableColumn id="22" xr3:uid="{B03FD222-C36C-491A-BD9E-63F26A2CDF94}" name="Remanence (T)" dataCellStyle="Normal"/>
    <tableColumn id="23" xr3:uid="{FC29729C-5E28-49AB-B359-AEED10F6A9D9}" name="Resistivity (Ohm/m)" dataCellStyle="Normal"/>
    <tableColumn id="24" xr3:uid="{231058DB-E0BD-4B3A-84A0-48DCF2636019}" name="Roughness Coefficient" dataCellStyle="Normal"/>
    <tableColumn id="25" xr3:uid="{7FE49149-1668-4F4D-9E10-6CDCFE4E76BA}" name="Shear Modulus (Gpa)" dataCellStyle="Normal"/>
    <tableColumn id="26" xr3:uid="{98D5CCA7-0425-49A6-8D9E-1B72BB467680}" name="Specific Heat (J/kgK)" dataCellStyle="Normal"/>
    <tableColumn id="27" xr3:uid="{E5F6677E-7C11-4C7A-8BB5-64C0E82E3970}" name="Sponta-neous Lifetime (s)" dataCellStyle="Normal"/>
    <tableColumn id="28" xr3:uid="{043053B0-DBEF-496A-A4C5-BC90A5C29ED2}" name="Thermal Conduct-ivity (W/mK)" dataCellStyle="Normal"/>
    <tableColumn id="29" xr3:uid="{0D79D282-6954-488B-9781-8C93F4AA4AB8}" name="ThermalExpansion(K^-1)" dataCellStyle="Normal"/>
    <tableColumn id="30" xr3:uid="{64AFCCFE-28FD-41E3-B1E7-56D80406549C}" name="Thermo-electricSensitivity(V/K)" dataCellStyle="Normal"/>
    <tableColumn id="31" xr3:uid="{2877979E-73B3-46F8-830F-9C5AC251A45E}" name="Thermo-opticCoefficient(K)" dataCellStyle="Normal"/>
    <tableColumn id="32" xr3:uid="{34A764EB-BA9F-453D-AC6E-9844515D65E8}" name="Total Magnetic Moment" dataCellStyle="Normal"/>
    <tableColumn id="33" xr3:uid="{06ABC3BA-98F0-48D8-90E1-C57CFD0BFA49}" name="Transition Cross Section (m2)" dataCellStyle="Normal"/>
    <tableColumn id="34" xr3:uid="{DB8F15A1-E017-476F-9A8F-1CFE6A4C4DCC}" name="Transition Wavelength (nm)" dataCellStyle="Normal"/>
    <tableColumn id="35" xr3:uid="{CEA8481A-E353-4EF5-84DB-45C8D6629DE2}" name="Ultimate Tensile Strength (Mpa)" dataCellStyle="Normal"/>
    <tableColumn id="36" xr3:uid="{7C848D01-0373-4B60-A270-3644638516E4}" name="Viscosity (Pa/s)" dataCellStyle="Normal"/>
    <tableColumn id="37" xr3:uid="{E96C7756-D973-4203-9A6A-B9124FF02152}" name="Yield Strength (Mpa)" dataCellStyle="Normal"/>
    <tableColumn id="38" xr3:uid="{7A01D57C-9392-4348-8A0F-2CB45D0D3317}" name="Youngs Modulus (Gpa)" dataCellStyle="Normal"/>
    <tableColumn id="40" xr3:uid="{EAB44F9A-94B9-4A6A-9451-74497A40F531}" name="Molar mass (g/mol)" dataCellStyle="Normal"/>
    <tableColumn id="41" xr3:uid="{81C7225B-AAD2-4095-8F94-8322BE62CC79}" name="Enthalpy Change of Fusion (J/mol)" dataCellStyle="Normal"/>
    <tableColumn id="42" xr3:uid="{C4CB5459-6853-4905-A464-02783F7F4979}" name="Enthalpy Change of Vaporization (J/mol)" dataCellStyle="Normal"/>
    <tableColumn id="44" xr3:uid="{1403F7FA-7B1F-406B-B40C-9B138F2F2721}" name="Critical Point(K)" dataCellStyle="Normal"/>
    <tableColumn id="45" xr3:uid="{8EA22173-6756-40F7-9252-9D5F0E3E6F88}" name="Gas Phase Adibatic Index" dataCellStyle="Normal"/>
    <tableColumn id="46" xr3:uid="{A6E17FDD-1EF9-4F41-80CA-14E483CA38DD}" name="Isotopic ref" dataCellStyle="Normal"/>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98985A-D609-46B2-9825-885AEED47BBB}" name="Explosives" displayName="Explosives" ref="B4:H13" totalsRowShown="0" headerRowDxfId="17">
  <autoFilter ref="B4:H13" xr:uid="{1B22CBF9-F97F-4FD9-AA26-1CBAB74BC6F9}"/>
  <sortState xmlns:xlrd2="http://schemas.microsoft.com/office/spreadsheetml/2017/richdata2" ref="B5:H13">
    <sortCondition ref="B4:B13"/>
  </sortState>
  <tableColumns count="7">
    <tableColumn id="1" xr3:uid="{565B3331-B3E0-4E29-A31C-5B7F0EA2283C}" name="Molecule"/>
    <tableColumn id="5" xr3:uid="{8B96ED6E-4B9F-406B-A385-815BA19D84BD}" name="ref"/>
    <tableColumn id="2" xr3:uid="{64E33FF7-B8D4-4F74-8E95-262AE9A45942}" name="Hf kJmol^-1" dataCellStyle="Normal">
      <calculatedColumnFormula>LOOKUP(Explosives[[#This Row],[ref]],Materials[[#All],[Refe-rence]],Materials[[#All],[Enthalpy Of Formation (kJ/mol)]])</calculatedColumnFormula>
    </tableColumn>
    <tableColumn id="3" xr3:uid="{D683ED27-2679-488D-931A-30ECBE25F403}" name="Cp Jmol^-1K^-1" dataDxfId="16">
      <calculatedColumnFormula>LOOKUP(Explosives[[#This Row],[ref]],Materials[Refe-rence],Materials[Specific Heat (J/kgK)])*LOOKUP(Explosives[[#This Row],[ref]],Materials[[#All],[Refe-rence]],Materials[[#All],[Molar mass (g/mol)]])/1000</calculatedColumnFormula>
    </tableColumn>
    <tableColumn id="7" xr3:uid="{F10A1BE6-7797-4418-8681-703D81C26401}" name="gamma" dataDxfId="15">
      <calculatedColumnFormula>LOOKUP(Explosives[[#This Row],[ref]],Materials[[#All],[Refe-rence]],Materials[[#All],[Gas Phase Adibatic Index]])</calculatedColumnFormula>
    </tableColumn>
    <tableColumn id="6" xr3:uid="{8F038E47-7549-4866-B7EC-FF66CA0B01C0}" name="Cv Jmol^-1K^-1" dataDxfId="14">
      <calculatedColumnFormula>Explosives[[#This Row],[Cp Jmol^-1K^-1]]/Explosives[[#This Row],[gamma]]</calculatedColumnFormula>
    </tableColumn>
    <tableColumn id="4" xr3:uid="{0717BF1D-1337-43DC-B778-C6FE34140B21}" name="Ar kgmol^-1" dataDxfId="13">
      <calculatedColumnFormula>LOOKUP(Explosives[[#This Row],[ref]],Materials[Refe-rence],Materials[Molar mass (g/mol)])/1000</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1B0315-61F2-4BB2-82AC-3873E86F3368}" name="Propulsion_System" displayName="Propulsion_System" ref="A1:O114" totalsRowShown="0" headerRowDxfId="12">
  <autoFilter ref="A1:O114" xr:uid="{621F01E5-E0DF-48DE-BE25-0C48B791D26B}"/>
  <sortState xmlns:xlrd2="http://schemas.microsoft.com/office/spreadsheetml/2017/richdata2" ref="A2:O114">
    <sortCondition ref="A1:A114"/>
  </sortState>
  <tableColumns count="15">
    <tableColumn id="10" xr3:uid="{A7E797A5-CA35-4EA0-8C6B-B5CF82701279}" name="Ref.Code" dataDxfId="11"/>
    <tableColumn id="1" xr3:uid="{72FB5A63-F0AB-47B6-8C92-D06A9AE95987}" name="Propulsion"/>
    <tableColumn id="2" xr3:uid="{745CDC36-F660-4E69-A0E6-25EA1A3CFE52}" name="Code"/>
    <tableColumn id="12" xr3:uid="{1B0EF8A1-D683-4390-A8A3-C8394C1A653D}" name="Propellant"/>
    <tableColumn id="13" xr3:uid="{445A6DA9-74E1-4CA8-9978-6A91140C7DC2}" name="Propellant Density (kgm^-3)" dataDxfId="10"/>
    <tableColumn id="15" xr3:uid="{8E25F3AC-CBBA-4F45-BAC8-ED8D0BABE6BA}" name="Tankage Mass Ratio" dataDxfId="9"/>
    <tableColumn id="3" xr3:uid="{EBD6664C-4F3D-4FEB-89AF-A49320C68F28}" name="Thrust Power (MW)" dataDxfId="8"/>
    <tableColumn id="4" xr3:uid="{40787915-4C26-447D-9FA6-2AD80808807E}" name="Exhaust Velocity (m/s)" dataDxfId="7"/>
    <tableColumn id="5" xr3:uid="{B38B94F1-E464-46E7-9A89-3C86E0E30DE6}" name="Specific Impulse (s)" dataDxfId="6"/>
    <tableColumn id="6" xr3:uid="{2A8749B3-EA26-4A02-9B07-0D8FB6061F03}" name="Thrust (N)" dataDxfId="5"/>
    <tableColumn id="7" xr3:uid="{0D56755D-947F-4E0B-8DBE-68D6F0E454BD}" name="Engine Mass (kg)" dataDxfId="4"/>
    <tableColumn id="8" xr3:uid="{82763923-EED6-410F-88AB-9A1AC52C9DD6}" name="T/W"/>
    <tableColumn id="11" xr3:uid="{3E785865-E718-474F-8CF3-E36D988F50FA}" name="Efficiency" dataDxfId="3"/>
    <tableColumn id="14" xr3:uid="{11C15FBB-2894-4EBC-9217-5B6AD30E4A34}" name="Bimodal Generation (MWe)" dataDxfId="2"/>
    <tableColumn id="9" xr3:uid="{189F38D6-D15C-43BB-989D-40B652D5AB29}" name="Note" dataCellStyle="Percent"/>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0951EA-CB9C-4374-AD4F-5332F7C274B3}" name="Table7" displayName="Table7" ref="U3:AC9" totalsRowShown="0">
  <autoFilter ref="U3:AC9" xr:uid="{0B55CECC-EC33-440D-98E9-82819B38BF95}"/>
  <tableColumns count="9">
    <tableColumn id="1" xr3:uid="{875241E7-BE8E-4572-A88E-3B1AAB23E5C4}" name="Ref"/>
    <tableColumn id="2" xr3:uid="{12A1C773-BED7-464F-A347-5C142334E0E0}" name="Ion Species"/>
    <tableColumn id="3" xr3:uid="{296D0434-0259-47AF-9EC8-64CE9481868C}" name="mat.ref"/>
    <tableColumn id="7" xr3:uid="{9E24C949-D114-44DD-A011-4279CD54B237}" name="Bound in Gas"/>
    <tableColumn id="4" xr3:uid="{507F5898-B400-4CAC-AC9E-B84BCF8AFD50}" name="Molar mass g/mol" dataDxfId="1">
      <calculatedColumnFormula>LOOKUP(W4,Materials[[#All],[Refe-rence]],Materials[[#All],[Molar mass (g/mol)]])/Table7[[#This Row],[Bound in Gas]]</calculatedColumnFormula>
    </tableColumn>
    <tableColumn id="5" xr3:uid="{760CB163-0280-4DC6-9020-236B35DDC637}" name="Charge"/>
    <tableColumn id="6" xr3:uid="{782A03F2-22A5-478A-901F-D68D94DB5DFC}" name="MCR" dataDxfId="0">
      <calculatedColumnFormula>Y4/Z4</calculatedColumnFormula>
    </tableColumn>
    <tableColumn id="8" xr3:uid="{0E1359F8-92FC-465E-8C46-01189DD382EE}" name="Ionization Potential/eV"/>
    <tableColumn id="9" xr3:uid="{40D9A793-9E34-433C-AA32-AB435DFEC248}" name="Proton No."/>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5C66E9-B376-4ECA-B313-1E12DFA4AF93}" name="ADB_index" displayName="ADB_index" ref="N6:R11" totalsRowShown="0">
  <autoFilter ref="N6:R11" xr:uid="{6E33F9DE-D399-4F39-80E6-7B826B23387F}"/>
  <tableColumns count="5">
    <tableColumn id="1" xr3:uid="{6EE7C958-CEEC-499D-8580-3A0714EBAC83}" name="Column1"/>
    <tableColumn id="2" xr3:uid="{65A2608B-1C5E-4DDC-BCB5-C08305EE31AD}" name="Column2"/>
    <tableColumn id="3" xr3:uid="{8EDEB2B1-AE55-4FDE-B2CF-CC56F5503E09}" name="cv"/>
    <tableColumn id="4" xr3:uid="{9FE57F58-2374-483C-BF18-76FBAA21CA40}" name="cp"/>
    <tableColumn id="5" xr3:uid="{783BC6B9-4EB8-4F3D-A794-F7C2923C0C2C}" name="gamma"/>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6.bin"/><Relationship Id="rId1" Type="http://schemas.openxmlformats.org/officeDocument/2006/relationships/hyperlink" Target="http://www.panoptesv.com/SciFi/LaserDeathRay/DamageFromLaser.php" TargetMode="External"/><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1C73B-5F66-4D05-8478-F97A512FFD5F}">
  <sheetPr codeName="Sheet1">
    <tabColor rgb="FFC00000"/>
  </sheetPr>
  <dimension ref="B2:M63"/>
  <sheetViews>
    <sheetView workbookViewId="0">
      <selection activeCell="F44" sqref="F44"/>
    </sheetView>
  </sheetViews>
  <sheetFormatPr defaultRowHeight="14.25"/>
  <cols>
    <col min="5" max="5" width="10.6640625" customWidth="1"/>
    <col min="9" max="9" width="12.46484375" customWidth="1"/>
  </cols>
  <sheetData>
    <row r="2" spans="2:13" ht="21">
      <c r="B2" s="597" t="s">
        <v>32</v>
      </c>
      <c r="C2" s="597"/>
    </row>
    <row r="3" spans="2:13">
      <c r="B3" s="596" t="s">
        <v>33</v>
      </c>
      <c r="C3" s="596"/>
      <c r="D3" s="596"/>
      <c r="E3" s="596"/>
      <c r="K3" t="s">
        <v>2198</v>
      </c>
    </row>
    <row r="4" spans="2:13" s="144" customFormat="1">
      <c r="B4" s="143"/>
      <c r="C4" s="143" t="s">
        <v>1066</v>
      </c>
      <c r="D4" s="143"/>
      <c r="E4" s="143"/>
      <c r="L4" s="593" t="s">
        <v>2200</v>
      </c>
      <c r="M4" s="144" t="s">
        <v>2199</v>
      </c>
    </row>
    <row r="5" spans="2:13" s="144" customFormat="1">
      <c r="B5" s="143"/>
      <c r="C5" s="143"/>
      <c r="D5" s="57" t="s">
        <v>1067</v>
      </c>
      <c r="E5" s="143"/>
      <c r="L5" s="594"/>
      <c r="M5" s="144" t="s">
        <v>2201</v>
      </c>
    </row>
    <row r="6" spans="2:13" s="144" customFormat="1">
      <c r="B6" s="143"/>
      <c r="D6" s="144" t="s">
        <v>1068</v>
      </c>
      <c r="E6" s="143"/>
    </row>
    <row r="7" spans="2:13">
      <c r="K7" t="s">
        <v>2213</v>
      </c>
    </row>
    <row r="8" spans="2:13">
      <c r="C8" s="596" t="s">
        <v>34</v>
      </c>
      <c r="D8" s="596"/>
      <c r="L8" t="s">
        <v>2212</v>
      </c>
    </row>
    <row r="9" spans="2:13">
      <c r="D9" t="s">
        <v>35</v>
      </c>
      <c r="E9" s="8">
        <v>43661</v>
      </c>
      <c r="F9" s="592" t="s">
        <v>36</v>
      </c>
      <c r="G9" s="592"/>
      <c r="H9" s="592"/>
      <c r="I9" s="592"/>
      <c r="L9" t="s">
        <v>2216</v>
      </c>
    </row>
    <row r="10" spans="2:13">
      <c r="F10" s="592"/>
      <c r="G10" s="592"/>
      <c r="H10" s="592"/>
      <c r="I10" s="592"/>
      <c r="L10" t="s">
        <v>2219</v>
      </c>
    </row>
    <row r="11" spans="2:13" ht="14.25" customHeight="1">
      <c r="D11" t="s">
        <v>281</v>
      </c>
      <c r="E11" s="8">
        <v>43661</v>
      </c>
      <c r="F11" s="592" t="s">
        <v>289</v>
      </c>
      <c r="G11" s="592"/>
      <c r="H11" s="592"/>
      <c r="I11" s="592"/>
    </row>
    <row r="12" spans="2:13">
      <c r="F12" s="592"/>
      <c r="G12" s="592"/>
      <c r="H12" s="592"/>
      <c r="I12" s="592"/>
      <c r="K12" t="s">
        <v>2214</v>
      </c>
    </row>
    <row r="13" spans="2:13">
      <c r="F13" s="592"/>
      <c r="G13" s="592"/>
      <c r="H13" s="592"/>
      <c r="I13" s="592"/>
      <c r="L13" t="s">
        <v>2215</v>
      </c>
    </row>
    <row r="14" spans="2:13" ht="14.25" customHeight="1">
      <c r="D14" t="s">
        <v>342</v>
      </c>
      <c r="E14" s="8">
        <v>43662</v>
      </c>
      <c r="F14" s="592" t="s">
        <v>655</v>
      </c>
      <c r="G14" s="592"/>
      <c r="H14" s="592"/>
      <c r="I14" s="592"/>
      <c r="L14" t="s">
        <v>2218</v>
      </c>
    </row>
    <row r="15" spans="2:13">
      <c r="F15" s="592"/>
      <c r="G15" s="592"/>
      <c r="H15" s="592"/>
      <c r="I15" s="592"/>
      <c r="L15" t="s">
        <v>2217</v>
      </c>
    </row>
    <row r="16" spans="2:13" ht="14.25" customHeight="1">
      <c r="D16" s="38" t="s">
        <v>644</v>
      </c>
      <c r="E16" s="8">
        <v>43665</v>
      </c>
      <c r="F16" s="592" t="s">
        <v>645</v>
      </c>
      <c r="G16" s="592"/>
      <c r="H16" s="592"/>
      <c r="I16" s="592"/>
    </row>
    <row r="17" spans="4:11">
      <c r="D17" s="38"/>
      <c r="E17" s="38"/>
      <c r="F17" s="592"/>
      <c r="G17" s="592"/>
      <c r="H17" s="592"/>
      <c r="I17" s="592"/>
      <c r="K17" t="s">
        <v>2220</v>
      </c>
    </row>
    <row r="18" spans="4:11">
      <c r="D18" s="38"/>
      <c r="E18" s="38"/>
      <c r="F18" s="592"/>
      <c r="G18" s="592"/>
      <c r="H18" s="592"/>
      <c r="I18" s="592"/>
    </row>
    <row r="19" spans="4:11" ht="14.25" customHeight="1">
      <c r="D19" s="38" t="s">
        <v>668</v>
      </c>
      <c r="E19" s="8">
        <v>43693</v>
      </c>
      <c r="F19" s="592" t="s">
        <v>771</v>
      </c>
      <c r="G19" s="592"/>
      <c r="H19" s="592"/>
      <c r="I19" s="592"/>
    </row>
    <row r="20" spans="4:11">
      <c r="D20" s="38"/>
      <c r="E20" s="38"/>
      <c r="F20" s="592"/>
      <c r="G20" s="592"/>
      <c r="H20" s="592"/>
      <c r="I20" s="592"/>
    </row>
    <row r="21" spans="4:11">
      <c r="D21" s="38"/>
      <c r="E21" s="38"/>
      <c r="F21" s="592"/>
      <c r="G21" s="592"/>
      <c r="H21" s="592"/>
      <c r="I21" s="592"/>
    </row>
    <row r="22" spans="4:11">
      <c r="D22" s="38" t="s">
        <v>901</v>
      </c>
      <c r="E22" s="8">
        <v>43704</v>
      </c>
      <c r="F22" s="592" t="s">
        <v>902</v>
      </c>
      <c r="G22" s="592"/>
      <c r="H22" s="592"/>
      <c r="I22" s="592"/>
    </row>
    <row r="23" spans="4:11">
      <c r="D23" s="38"/>
      <c r="E23" s="38"/>
      <c r="F23" s="592"/>
      <c r="G23" s="592"/>
      <c r="H23" s="592"/>
      <c r="I23" s="592"/>
    </row>
    <row r="24" spans="4:11">
      <c r="D24" s="38"/>
      <c r="E24" s="38"/>
      <c r="F24" s="592"/>
      <c r="G24" s="592"/>
      <c r="H24" s="592"/>
      <c r="I24" s="592"/>
    </row>
    <row r="25" spans="4:11" s="38" customFormat="1" ht="14.25" customHeight="1">
      <c r="D25" s="38" t="s">
        <v>1064</v>
      </c>
      <c r="E25" s="8">
        <v>43732</v>
      </c>
      <c r="F25" s="592" t="s">
        <v>1770</v>
      </c>
      <c r="G25" s="592"/>
      <c r="H25" s="592"/>
      <c r="I25" s="592"/>
    </row>
    <row r="26" spans="4:11" s="38" customFormat="1">
      <c r="F26" s="592"/>
      <c r="G26" s="592"/>
      <c r="H26" s="592"/>
      <c r="I26" s="592"/>
    </row>
    <row r="27" spans="4:11" s="274" customFormat="1">
      <c r="D27" s="274" t="s">
        <v>1532</v>
      </c>
      <c r="E27" s="8">
        <v>43749</v>
      </c>
      <c r="F27" s="592" t="s">
        <v>1533</v>
      </c>
      <c r="G27" s="592"/>
      <c r="H27" s="592"/>
      <c r="I27" s="592"/>
    </row>
    <row r="28" spans="4:11" s="274" customFormat="1">
      <c r="F28" s="592"/>
      <c r="G28" s="592"/>
      <c r="H28" s="592"/>
      <c r="I28" s="592"/>
    </row>
    <row r="29" spans="4:11" s="350" customFormat="1" ht="14.25" customHeight="1">
      <c r="D29" s="350" t="s">
        <v>1769</v>
      </c>
      <c r="E29" s="8">
        <v>43763</v>
      </c>
      <c r="F29" s="592" t="s">
        <v>2053</v>
      </c>
      <c r="G29" s="592"/>
      <c r="H29" s="592"/>
      <c r="I29" s="592"/>
    </row>
    <row r="30" spans="4:11" s="350" customFormat="1">
      <c r="F30" s="592"/>
      <c r="G30" s="592"/>
      <c r="H30" s="592"/>
      <c r="I30" s="592"/>
    </row>
    <row r="31" spans="4:11" s="38" customFormat="1" ht="14.25" customHeight="1">
      <c r="F31" s="592"/>
      <c r="G31" s="592"/>
      <c r="H31" s="592"/>
      <c r="I31" s="592"/>
    </row>
    <row r="32" spans="4:11" s="38" customFormat="1">
      <c r="F32" s="592"/>
      <c r="G32" s="592"/>
      <c r="H32" s="592"/>
      <c r="I32" s="592"/>
    </row>
    <row r="33" spans="2:11" s="350" customFormat="1">
      <c r="F33" s="592"/>
      <c r="G33" s="592"/>
      <c r="H33" s="592"/>
      <c r="I33" s="592"/>
    </row>
    <row r="34" spans="2:11" s="387" customFormat="1" ht="14.25" customHeight="1">
      <c r="D34" s="387" t="s">
        <v>2052</v>
      </c>
      <c r="E34" s="8">
        <v>43780</v>
      </c>
      <c r="F34" s="592" t="s">
        <v>2054</v>
      </c>
      <c r="G34" s="592"/>
      <c r="H34" s="592"/>
      <c r="I34" s="592"/>
    </row>
    <row r="35" spans="2:11" s="387" customFormat="1">
      <c r="F35" s="592"/>
      <c r="G35" s="592"/>
      <c r="H35" s="592"/>
      <c r="I35" s="592"/>
    </row>
    <row r="36" spans="2:11" s="387" customFormat="1">
      <c r="F36" s="592"/>
      <c r="G36" s="592"/>
      <c r="H36" s="592"/>
      <c r="I36" s="592"/>
    </row>
    <row r="37" spans="2:11" s="387" customFormat="1">
      <c r="F37" s="592"/>
      <c r="G37" s="592"/>
      <c r="H37" s="592"/>
      <c r="I37" s="592"/>
    </row>
    <row r="38" spans="2:11" s="387" customFormat="1" ht="14.25" customHeight="1">
      <c r="D38" s="387" t="s">
        <v>2179</v>
      </c>
      <c r="E38" s="8">
        <v>43791</v>
      </c>
      <c r="F38" s="592" t="s">
        <v>2180</v>
      </c>
      <c r="G38" s="592"/>
      <c r="H38" s="592"/>
      <c r="I38" s="592"/>
    </row>
    <row r="39" spans="2:11" s="387" customFormat="1">
      <c r="F39" s="592"/>
      <c r="G39" s="592"/>
      <c r="H39" s="592"/>
      <c r="I39" s="592"/>
    </row>
    <row r="40" spans="2:11" s="387" customFormat="1">
      <c r="F40" s="592"/>
      <c r="G40" s="592"/>
      <c r="H40" s="592"/>
      <c r="I40" s="592"/>
    </row>
    <row r="41" spans="2:11" s="387" customFormat="1" ht="14.25" customHeight="1">
      <c r="D41" s="387" t="s">
        <v>2196</v>
      </c>
      <c r="E41" s="8">
        <v>43803</v>
      </c>
      <c r="F41" s="592" t="s">
        <v>2383</v>
      </c>
      <c r="G41" s="592"/>
      <c r="H41" s="592"/>
      <c r="I41" s="592"/>
    </row>
    <row r="42" spans="2:11" s="350" customFormat="1">
      <c r="F42" s="592"/>
      <c r="G42" s="592"/>
      <c r="H42" s="592"/>
      <c r="I42" s="592"/>
    </row>
    <row r="43" spans="2:11" s="350" customFormat="1">
      <c r="F43" s="592"/>
      <c r="G43" s="592"/>
      <c r="H43" s="592"/>
      <c r="I43" s="592"/>
    </row>
    <row r="44" spans="2:11" s="350" customFormat="1">
      <c r="F44" s="349"/>
      <c r="G44" s="349"/>
      <c r="H44" s="349"/>
      <c r="I44" s="349"/>
    </row>
    <row r="45" spans="2:11">
      <c r="B45" t="s">
        <v>660</v>
      </c>
    </row>
    <row r="46" spans="2:11" ht="14.25" customHeight="1">
      <c r="B46" s="595" t="s">
        <v>646</v>
      </c>
      <c r="C46" s="595"/>
      <c r="D46" s="595"/>
      <c r="E46" s="595"/>
      <c r="F46" s="595"/>
      <c r="G46" s="595"/>
      <c r="H46" s="595"/>
      <c r="I46" s="595"/>
      <c r="J46" s="595"/>
      <c r="K46" s="22"/>
    </row>
    <row r="47" spans="2:11">
      <c r="B47" s="595"/>
      <c r="C47" s="595"/>
      <c r="D47" s="595"/>
      <c r="E47" s="595"/>
      <c r="F47" s="595"/>
      <c r="G47" s="595"/>
      <c r="H47" s="595"/>
      <c r="I47" s="595"/>
      <c r="J47" s="595"/>
      <c r="K47" s="22"/>
    </row>
    <row r="48" spans="2:11">
      <c r="B48" s="595"/>
      <c r="C48" s="595"/>
      <c r="D48" s="595"/>
      <c r="E48" s="595"/>
      <c r="F48" s="595"/>
      <c r="G48" s="595"/>
      <c r="H48" s="595"/>
      <c r="I48" s="595"/>
      <c r="J48" s="595"/>
      <c r="K48" s="22"/>
    </row>
    <row r="49" spans="2:11">
      <c r="B49" s="22"/>
      <c r="C49" s="22"/>
      <c r="D49" s="22"/>
      <c r="E49" s="22"/>
      <c r="F49" s="22"/>
      <c r="G49" s="22"/>
      <c r="H49" s="22"/>
      <c r="I49" s="22"/>
      <c r="J49" s="22"/>
      <c r="K49" s="22"/>
    </row>
    <row r="50" spans="2:11" ht="14.25" customHeight="1">
      <c r="B50" s="24" t="s">
        <v>647</v>
      </c>
      <c r="C50" s="23"/>
      <c r="D50" s="23"/>
      <c r="E50" s="23"/>
      <c r="F50" s="23"/>
      <c r="G50" s="23"/>
      <c r="H50" s="23"/>
      <c r="I50" s="23"/>
      <c r="J50" s="23"/>
      <c r="K50" s="23"/>
    </row>
    <row r="51" spans="2:11">
      <c r="B51" s="24" t="s">
        <v>648</v>
      </c>
      <c r="C51" s="23"/>
      <c r="D51" s="23"/>
      <c r="E51" s="23"/>
      <c r="F51" s="23"/>
      <c r="G51" s="23"/>
      <c r="H51" s="23"/>
      <c r="I51" s="23"/>
      <c r="J51" s="23"/>
      <c r="K51" s="23"/>
    </row>
    <row r="52" spans="2:11">
      <c r="B52" s="24" t="s">
        <v>649</v>
      </c>
      <c r="C52" s="23"/>
      <c r="D52" s="23"/>
      <c r="E52" s="23"/>
      <c r="F52" s="23"/>
      <c r="G52" s="23"/>
      <c r="H52" s="23"/>
      <c r="I52" s="23"/>
      <c r="J52" s="23"/>
      <c r="K52" s="23"/>
    </row>
    <row r="53" spans="2:11">
      <c r="B53" s="24" t="s">
        <v>654</v>
      </c>
      <c r="C53" s="23"/>
      <c r="D53" s="23"/>
      <c r="E53" s="23"/>
      <c r="F53" s="23"/>
      <c r="G53" s="23"/>
      <c r="H53" s="23"/>
      <c r="I53" s="23"/>
      <c r="J53" s="23"/>
      <c r="K53" s="23"/>
    </row>
    <row r="54" spans="2:11">
      <c r="B54" s="25" t="s">
        <v>650</v>
      </c>
      <c r="C54" s="10"/>
      <c r="D54" s="10"/>
      <c r="E54" s="10"/>
      <c r="F54" s="10"/>
      <c r="G54" s="10"/>
      <c r="H54" s="10"/>
      <c r="I54" s="10"/>
      <c r="J54" s="10"/>
      <c r="K54" s="10"/>
    </row>
    <row r="55" spans="2:11">
      <c r="B55" s="24" t="s">
        <v>651</v>
      </c>
      <c r="C55" s="23"/>
      <c r="D55" s="23"/>
      <c r="E55" s="23"/>
      <c r="F55" s="23"/>
      <c r="G55" s="23"/>
      <c r="H55" s="23"/>
      <c r="I55" s="23"/>
      <c r="J55" s="23"/>
      <c r="K55" s="23"/>
    </row>
    <row r="56" spans="2:11">
      <c r="B56" s="24" t="s">
        <v>652</v>
      </c>
      <c r="C56" s="24"/>
      <c r="D56" s="24"/>
      <c r="E56" s="24"/>
      <c r="F56" s="24"/>
      <c r="G56" s="24"/>
      <c r="H56" s="24"/>
      <c r="I56" s="24"/>
      <c r="J56" s="24"/>
      <c r="K56" s="24"/>
    </row>
    <row r="57" spans="2:11">
      <c r="B57" s="24" t="s">
        <v>653</v>
      </c>
      <c r="C57" s="23"/>
      <c r="D57" s="23"/>
      <c r="E57" s="23"/>
      <c r="F57" s="23"/>
      <c r="G57" s="23"/>
      <c r="H57" s="23"/>
      <c r="I57" s="23"/>
      <c r="J57" s="23"/>
      <c r="K57" s="23"/>
    </row>
    <row r="58" spans="2:11">
      <c r="B58" s="24" t="s">
        <v>659</v>
      </c>
      <c r="C58" s="23"/>
      <c r="D58" s="23"/>
      <c r="E58" s="23"/>
      <c r="F58" s="23"/>
      <c r="G58" s="23"/>
      <c r="H58" s="23"/>
      <c r="I58" s="23"/>
      <c r="J58" s="23"/>
      <c r="K58" s="23"/>
    </row>
    <row r="60" spans="2:11">
      <c r="B60" s="25" t="s">
        <v>656</v>
      </c>
      <c r="C60" s="10"/>
      <c r="D60" s="10"/>
      <c r="E60" s="10"/>
      <c r="F60" s="10"/>
      <c r="G60" s="10"/>
      <c r="H60" s="10"/>
      <c r="I60" s="10"/>
      <c r="J60" s="10"/>
      <c r="K60" s="10"/>
    </row>
    <row r="61" spans="2:11" ht="14.25" customHeight="1">
      <c r="B61" s="26" t="s">
        <v>657</v>
      </c>
      <c r="C61" s="27"/>
      <c r="D61" s="27"/>
      <c r="E61" s="27"/>
      <c r="F61" s="27"/>
      <c r="G61" s="27"/>
      <c r="H61" s="27"/>
      <c r="I61" s="27"/>
      <c r="J61" s="27"/>
      <c r="K61" s="27"/>
    </row>
    <row r="62" spans="2:11" ht="14.25" customHeight="1">
      <c r="B62" s="24" t="s">
        <v>658</v>
      </c>
      <c r="C62" s="23"/>
      <c r="D62" s="23"/>
      <c r="E62" s="23"/>
      <c r="F62" s="23"/>
      <c r="G62" s="23"/>
      <c r="H62" s="23"/>
      <c r="I62" s="23"/>
      <c r="J62" s="23"/>
      <c r="K62" s="23"/>
    </row>
    <row r="63" spans="2:11" ht="14.25" customHeight="1">
      <c r="B63" s="24" t="s">
        <v>661</v>
      </c>
      <c r="C63" s="23"/>
      <c r="D63" s="23"/>
      <c r="E63" s="23"/>
      <c r="F63" s="23"/>
      <c r="G63" s="23"/>
      <c r="H63" s="23"/>
      <c r="I63" s="23"/>
      <c r="J63" s="23"/>
      <c r="K63" s="23"/>
    </row>
  </sheetData>
  <mergeCells count="17">
    <mergeCell ref="B2:C2"/>
    <mergeCell ref="C8:D8"/>
    <mergeCell ref="F9:I10"/>
    <mergeCell ref="F11:I13"/>
    <mergeCell ref="F16:I18"/>
    <mergeCell ref="F14:I15"/>
    <mergeCell ref="F41:I43"/>
    <mergeCell ref="L4:L5"/>
    <mergeCell ref="F38:I40"/>
    <mergeCell ref="B46:J48"/>
    <mergeCell ref="B3:E3"/>
    <mergeCell ref="F19:I21"/>
    <mergeCell ref="F22:I24"/>
    <mergeCell ref="F25:I26"/>
    <mergeCell ref="F27:I28"/>
    <mergeCell ref="F29:I33"/>
    <mergeCell ref="F34:I37"/>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A600B-657A-4136-838A-CD98B785A06E}">
  <sheetPr codeName="Sheet12">
    <tabColor theme="1"/>
  </sheetPr>
  <dimension ref="A1:P17"/>
  <sheetViews>
    <sheetView workbookViewId="0"/>
  </sheetViews>
  <sheetFormatPr defaultRowHeight="14.25"/>
  <cols>
    <col min="2" max="2" width="21.1328125" customWidth="1"/>
    <col min="3" max="3" width="11.796875" style="146" customWidth="1"/>
    <col min="4" max="4" width="9.53125" customWidth="1"/>
    <col min="5" max="5" width="10.3984375" style="147" customWidth="1"/>
    <col min="6" max="6" width="10.3984375" style="356" customWidth="1"/>
    <col min="7" max="7" width="9" style="154" customWidth="1"/>
    <col min="9" max="9" width="14.53125" customWidth="1"/>
    <col min="10" max="10" width="6.265625" customWidth="1"/>
    <col min="11" max="11" width="10.46484375" customWidth="1"/>
    <col min="12" max="12" width="6.265625" customWidth="1"/>
    <col min="13" max="13" width="9.6640625" style="152" customWidth="1"/>
    <col min="14" max="14" width="9.1328125" customWidth="1"/>
    <col min="15" max="15" width="5.265625" customWidth="1"/>
    <col min="16" max="16" width="8.86328125" customWidth="1"/>
  </cols>
  <sheetData>
    <row r="1" spans="1:16" s="146" customFormat="1">
      <c r="A1" s="146" t="s">
        <v>1081</v>
      </c>
      <c r="E1" s="147"/>
      <c r="F1" s="356"/>
      <c r="G1" s="154"/>
      <c r="H1" s="146" t="s">
        <v>1085</v>
      </c>
      <c r="M1" s="152"/>
    </row>
    <row r="2" spans="1:16" ht="27.4" customHeight="1">
      <c r="A2" s="354" t="s">
        <v>830</v>
      </c>
      <c r="B2" s="355" t="s">
        <v>1071</v>
      </c>
      <c r="C2" s="355" t="s">
        <v>1074</v>
      </c>
      <c r="D2" s="355" t="s">
        <v>1072</v>
      </c>
      <c r="E2" s="355" t="s">
        <v>1075</v>
      </c>
      <c r="F2" s="358"/>
      <c r="G2" s="153"/>
      <c r="H2" s="354" t="s">
        <v>830</v>
      </c>
      <c r="I2" s="355" t="s">
        <v>1071</v>
      </c>
      <c r="J2" s="355" t="s">
        <v>1087</v>
      </c>
      <c r="K2" s="355" t="s">
        <v>1096</v>
      </c>
      <c r="L2" s="355" t="s">
        <v>1093</v>
      </c>
      <c r="M2" s="355" t="s">
        <v>1094</v>
      </c>
      <c r="N2" s="355" t="s">
        <v>1095</v>
      </c>
      <c r="O2" s="355" t="s">
        <v>1088</v>
      </c>
      <c r="P2" s="405" t="s">
        <v>1089</v>
      </c>
    </row>
    <row r="3" spans="1:16">
      <c r="A3" s="352">
        <v>1</v>
      </c>
      <c r="B3" s="356" t="s">
        <v>1076</v>
      </c>
      <c r="C3" s="1">
        <v>1570.2949364186043</v>
      </c>
      <c r="D3" s="1">
        <v>24.4</v>
      </c>
      <c r="E3" s="1">
        <f>0.0000000567*Radiators[[#This Row],[op temp(K)]]^4/1000*0.85</f>
        <v>293.03999999999968</v>
      </c>
      <c r="F3" s="1"/>
      <c r="H3" s="352">
        <v>1</v>
      </c>
      <c r="I3" s="244" t="s">
        <v>1086</v>
      </c>
      <c r="J3" s="244">
        <v>32</v>
      </c>
      <c r="K3" s="283">
        <f>LOOKUP(J3,Materials[[#All],[Refe-rence]],Materials[[#All],[Boiling Point (K)]])</f>
        <v>20.28</v>
      </c>
      <c r="L3" s="268">
        <f>N3/O3</f>
        <v>222.89682539682539</v>
      </c>
      <c r="M3" s="268">
        <f>L3*P3</f>
        <v>15792.240079365078</v>
      </c>
      <c r="N3" s="283">
        <f>LOOKUP(J3,Materials[[#All],[Refe-rence]],Materials[[#All],[Enthalpy Change of Vaporization (J/mol)]])</f>
        <v>449.36</v>
      </c>
      <c r="O3" s="283">
        <f>LOOKUP(J3,Materials[[#All],[Refe-rence]],Materials[[#All],[Molar mass (g/mol)]])</f>
        <v>2.016</v>
      </c>
      <c r="P3" s="404">
        <f>LOOKUP(J3,Materials[Refe-rence],Materials[Density (kg/m3)])</f>
        <v>70.849999999999994</v>
      </c>
    </row>
    <row r="4" spans="1:16">
      <c r="A4" s="352">
        <v>2</v>
      </c>
      <c r="B4" s="356" t="s">
        <v>1776</v>
      </c>
      <c r="C4" s="1">
        <v>1015.7313224078526</v>
      </c>
      <c r="D4" s="1">
        <v>4.2750000000000004</v>
      </c>
      <c r="E4" s="1">
        <f>0.0000000567*Radiators[[#This Row],[op temp(K)]]^4/1000*0.85</f>
        <v>51.300000000000061</v>
      </c>
      <c r="F4" s="1"/>
      <c r="H4" s="352">
        <v>2</v>
      </c>
      <c r="I4" s="244" t="s">
        <v>1090</v>
      </c>
      <c r="J4" s="244">
        <v>22</v>
      </c>
      <c r="K4" s="283">
        <f>LOOKUP(J4,Materials[[#All],[Refe-rence]],Materials[[#All],[Boiling Point (K)]])</f>
        <v>373</v>
      </c>
      <c r="L4" s="268">
        <f>N4/O4</f>
        <v>2256.3277087033748</v>
      </c>
      <c r="M4" s="268">
        <f>L4*P4</f>
        <v>2252266.3188277087</v>
      </c>
      <c r="N4" s="283">
        <f>LOOKUP(J4,Materials[[#All],[Refe-rence]],Materials[[#All],[Enthalpy Change of Vaporization (J/mol)]])</f>
        <v>40650</v>
      </c>
      <c r="O4" s="283">
        <f>LOOKUP(J4,Materials[[#All],[Refe-rence]],Materials[[#All],[Molar mass (g/mol)]])</f>
        <v>18.015999999999998</v>
      </c>
      <c r="P4" s="404">
        <f>LOOKUP(J4,Materials[Refe-rence],Materials[Density (kg/m3)])</f>
        <v>998.2</v>
      </c>
    </row>
    <row r="5" spans="1:16">
      <c r="A5" s="352">
        <v>3</v>
      </c>
      <c r="B5" s="356" t="s">
        <v>1777</v>
      </c>
      <c r="C5" s="1">
        <v>1579.5370509162065</v>
      </c>
      <c r="D5" s="1">
        <v>33</v>
      </c>
      <c r="E5" s="1">
        <f>0.0000000567*Radiators[[#This Row],[op temp(K)]]^4/1000*0.85</f>
        <v>300.00000000000011</v>
      </c>
      <c r="F5" s="1"/>
      <c r="H5" s="352">
        <v>3</v>
      </c>
      <c r="I5" s="244" t="s">
        <v>1091</v>
      </c>
      <c r="J5" s="244">
        <v>1</v>
      </c>
      <c r="K5" s="283">
        <f>LOOKUP(J5,Materials[[#All],[Refe-rence]],Materials[[#All],[Boiling Point (K)]])</f>
        <v>111.66</v>
      </c>
      <c r="L5" s="268">
        <f>N5/O5</f>
        <v>380.69563049304992</v>
      </c>
      <c r="M5" s="268">
        <f>L5*P5</f>
        <v>160889.58735897276</v>
      </c>
      <c r="N5" s="283">
        <f>LOOKUP(J5,Materials[[#All],[Refe-rence]],Materials[[#All],[Enthalpy Change of Vaporization (J/mol)]])</f>
        <v>6107.5</v>
      </c>
      <c r="O5" s="283">
        <f>LOOKUP(J5,Materials[[#All],[Refe-rence]],Materials[[#All],[Molar mass (g/mol)]])</f>
        <v>16.042999999999999</v>
      </c>
      <c r="P5" s="404">
        <f>LOOKUP(J5,Materials[Refe-rence],Materials[Density (kg/m3)])</f>
        <v>422.62</v>
      </c>
    </row>
    <row r="6" spans="1:16">
      <c r="A6" s="352">
        <v>4</v>
      </c>
      <c r="B6" s="356" t="s">
        <v>1778</v>
      </c>
      <c r="C6" s="1">
        <v>1570.2815396550943</v>
      </c>
      <c r="D6" s="1">
        <v>48.838999999999999</v>
      </c>
      <c r="E6" s="1">
        <f>0.0000000567*Radiators[[#This Row],[op temp(K)]]^4/1000*0.85</f>
        <v>293.03000000000048</v>
      </c>
      <c r="F6" s="1"/>
      <c r="H6" s="403">
        <v>4</v>
      </c>
      <c r="I6" s="406" t="s">
        <v>1092</v>
      </c>
      <c r="J6" s="406">
        <v>46</v>
      </c>
      <c r="K6" s="407">
        <f ca="1">LOOKUP(J6,Materials[Refe-rence],Materials[[#All],[Melting Point(K)]])</f>
        <v>505.08</v>
      </c>
      <c r="L6" s="408">
        <f>N6/O6</f>
        <v>430.53960964408725</v>
      </c>
      <c r="M6" s="408">
        <f>L6*P6</f>
        <v>229908.15154994259</v>
      </c>
      <c r="N6" s="407">
        <f>LOOKUP(J6,Materials[[#All],[Refe-rence]],Materials[[#All],[Enthalpy Change of Fusion (J/mol)]])</f>
        <v>3000</v>
      </c>
      <c r="O6" s="407">
        <f>LOOKUP(J6,Materials[[#All],[Refe-rence]],Materials[[#All],[Molar mass (g/mol)]])</f>
        <v>6.968</v>
      </c>
      <c r="P6" s="409">
        <f>LOOKUP(J6,Materials[[#All],[Refe-rence]],Materials[[#All],[Density (kg/m3)]])</f>
        <v>534</v>
      </c>
    </row>
    <row r="7" spans="1:16">
      <c r="A7" s="352">
        <v>5</v>
      </c>
      <c r="B7" s="356" t="s">
        <v>1779</v>
      </c>
      <c r="C7" s="1">
        <v>1449.4955821841272</v>
      </c>
      <c r="D7" s="1">
        <v>35.459000000000003</v>
      </c>
      <c r="E7" s="1">
        <f>0.0000000567*Radiators[[#This Row],[op temp(K)]]^4/1000*0.85</f>
        <v>212.75000000000045</v>
      </c>
      <c r="F7" s="1"/>
    </row>
    <row r="8" spans="1:16">
      <c r="A8" s="352">
        <v>6</v>
      </c>
      <c r="B8" s="356" t="s">
        <v>1780</v>
      </c>
      <c r="C8" s="1">
        <v>945.33661980281977</v>
      </c>
      <c r="D8" s="1">
        <v>6.4154</v>
      </c>
      <c r="E8" s="1">
        <f>0.0000000567*Radiators[[#This Row],[op temp(K)]]^4/1000*0.85</f>
        <v>38.490000000000052</v>
      </c>
      <c r="F8" s="1"/>
    </row>
    <row r="9" spans="1:16">
      <c r="A9" s="352">
        <v>7</v>
      </c>
      <c r="B9" s="356" t="s">
        <v>1781</v>
      </c>
      <c r="C9" s="1">
        <v>1120.6058928178411</v>
      </c>
      <c r="D9" s="1">
        <v>17</v>
      </c>
      <c r="E9" s="1">
        <f>0.0000000567*Radiators[[#This Row],[op temp(K)]]^4/1000*0.85</f>
        <v>75.999999999999929</v>
      </c>
      <c r="F9" s="1"/>
    </row>
    <row r="10" spans="1:16">
      <c r="A10" s="352">
        <v>8</v>
      </c>
      <c r="B10" s="356" t="s">
        <v>1073</v>
      </c>
      <c r="C10" s="1">
        <v>812.56108050736384</v>
      </c>
      <c r="D10" s="1">
        <v>7</v>
      </c>
      <c r="E10" s="1">
        <f>0.0000000567*Radiators[[#This Row],[op temp(K)]]^4/1000*0.85</f>
        <v>21.009999999999977</v>
      </c>
      <c r="F10" s="1"/>
    </row>
    <row r="11" spans="1:16">
      <c r="A11" s="352">
        <v>9</v>
      </c>
      <c r="B11" s="356" t="s">
        <v>1782</v>
      </c>
      <c r="C11" s="1">
        <v>1751.4728224807418</v>
      </c>
      <c r="D11" s="1">
        <v>151.18</v>
      </c>
      <c r="E11" s="1">
        <f>0.0000000567*Radiators[[#This Row],[op temp(K)]]^4/1000*0.85</f>
        <v>453.54000000000019</v>
      </c>
      <c r="F11" s="1"/>
    </row>
    <row r="12" spans="1:16">
      <c r="A12" s="352">
        <v>10</v>
      </c>
      <c r="B12" s="356" t="s">
        <v>1783</v>
      </c>
      <c r="C12" s="1">
        <v>1207.9149155385408</v>
      </c>
      <c r="D12" s="1">
        <v>34.200000000000003</v>
      </c>
      <c r="E12" s="1">
        <f>0.0000000567*Radiators[[#This Row],[op temp(K)]]^4/1000*0.85</f>
        <v>102.59999999999997</v>
      </c>
      <c r="F12" s="1"/>
    </row>
    <row r="13" spans="1:16">
      <c r="A13" s="352">
        <v>11</v>
      </c>
      <c r="B13" s="356" t="s">
        <v>1784</v>
      </c>
      <c r="C13" s="1">
        <v>1449.4955821841272</v>
      </c>
      <c r="D13" s="1">
        <v>70.92</v>
      </c>
      <c r="E13" s="1">
        <f>0.0000000567*Radiators[[#This Row],[op temp(K)]]^4/1000*0.85</f>
        <v>212.75000000000045</v>
      </c>
      <c r="F13" s="1"/>
    </row>
    <row r="14" spans="1:16">
      <c r="A14" s="352">
        <v>12</v>
      </c>
      <c r="B14" s="356" t="s">
        <v>1785</v>
      </c>
      <c r="C14" s="1">
        <v>1328.7137928284335</v>
      </c>
      <c r="D14" s="1">
        <v>100.14</v>
      </c>
      <c r="E14" s="1">
        <f>0.0000000567*Radiators[[#This Row],[op temp(K)]]^4/1000*0.85</f>
        <v>150.22000000000006</v>
      </c>
      <c r="F14" s="1"/>
    </row>
    <row r="15" spans="1:16">
      <c r="A15" s="352">
        <v>13</v>
      </c>
      <c r="B15" s="356" t="s">
        <v>1786</v>
      </c>
      <c r="C15" s="1">
        <v>1171.6741067443647</v>
      </c>
      <c r="D15" s="1">
        <v>60.554000000000002</v>
      </c>
      <c r="E15" s="1">
        <f>0.0000000567*Radiators[[#This Row],[op temp(K)]]^4/1000*0.85</f>
        <v>90.830000000000041</v>
      </c>
      <c r="F15" s="1"/>
    </row>
    <row r="16" spans="1:16">
      <c r="A16" s="352">
        <v>14</v>
      </c>
      <c r="B16" s="356" t="s">
        <v>1787</v>
      </c>
      <c r="C16" s="1">
        <v>1116.9013598382505</v>
      </c>
      <c r="D16" s="1">
        <v>75</v>
      </c>
      <c r="E16" s="1">
        <f>0.0000000567*Radiators[[#This Row],[op temp(K)]]^4/1000*0.85</f>
        <v>75.000000000000028</v>
      </c>
      <c r="F16" s="1"/>
    </row>
    <row r="17" spans="1:6">
      <c r="A17" s="353">
        <v>15</v>
      </c>
      <c r="B17" s="356" t="s">
        <v>1788</v>
      </c>
      <c r="C17" s="1">
        <v>293.14999999999998</v>
      </c>
      <c r="D17" s="1">
        <v>3.1</v>
      </c>
      <c r="E17" s="1">
        <f>0.0000000567*Radiators[[#This Row],[op temp(K)]]^4/1000*0.85</f>
        <v>0.3559275282975185</v>
      </c>
      <c r="F17" s="1"/>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DC967-ADD2-4BE3-9E8A-CA27A7C43B75}">
  <sheetPr codeName="Sheet4">
    <tabColor theme="1"/>
  </sheetPr>
  <dimension ref="A1:AZ222"/>
  <sheetViews>
    <sheetView topLeftCell="A166" workbookViewId="0">
      <selection activeCell="B183" sqref="B183"/>
    </sheetView>
  </sheetViews>
  <sheetFormatPr defaultRowHeight="14.25"/>
  <cols>
    <col min="1" max="1" width="5.265625" style="38" customWidth="1"/>
    <col min="2" max="2" width="32.1328125" style="38" customWidth="1"/>
    <col min="3" max="3" width="14.06640625" style="38" customWidth="1"/>
    <col min="4" max="4" width="9.06640625" style="38" customWidth="1"/>
    <col min="5" max="5" width="7.06640625" style="38" customWidth="1"/>
    <col min="6" max="6" width="8.46484375" style="38" customWidth="1"/>
    <col min="7" max="7" width="10.1328125" style="38" customWidth="1"/>
    <col min="8" max="9" width="9.3984375" style="38" customWidth="1"/>
    <col min="10" max="10" width="10.46484375" style="38" customWidth="1"/>
    <col min="11" max="11" width="13.265625" style="38" customWidth="1"/>
    <col min="12" max="12" width="12.46484375" style="38" customWidth="1"/>
    <col min="13" max="13" width="13.265625" style="38" customWidth="1"/>
    <col min="14" max="14" width="9.6640625" style="38" customWidth="1"/>
    <col min="15" max="15" width="8.9296875" style="38" customWidth="1"/>
    <col min="16" max="16" width="11.3984375" style="38" customWidth="1"/>
    <col min="17" max="17" width="8.59765625" style="38" customWidth="1"/>
    <col min="18" max="18" width="11.86328125" style="38" customWidth="1"/>
    <col min="19" max="19" width="11.06640625" style="38" customWidth="1"/>
    <col min="20" max="20" width="9.46484375" style="38" customWidth="1"/>
    <col min="21" max="21" width="15.46484375" style="38" customWidth="1"/>
    <col min="22" max="22" width="13.19921875" style="38" customWidth="1"/>
    <col min="23" max="24" width="12.46484375" style="38" customWidth="1"/>
    <col min="25" max="25" width="11.73046875" style="38" customWidth="1"/>
    <col min="26" max="26" width="11.796875" style="38" customWidth="1"/>
    <col min="27" max="27" width="10.1328125" style="38" customWidth="1"/>
    <col min="28" max="28" width="9.06640625" style="38" customWidth="1"/>
    <col min="29" max="29" width="9.73046875" style="38" customWidth="1"/>
    <col min="30" max="30" width="10.73046875" style="38" customWidth="1"/>
    <col min="31" max="31" width="11.73046875" style="38" customWidth="1"/>
    <col min="32" max="32" width="11.33203125" style="38" customWidth="1"/>
    <col min="33" max="33" width="11.6640625" style="38" customWidth="1"/>
    <col min="34" max="34" width="10.46484375" style="38" customWidth="1"/>
    <col min="35" max="35" width="11.06640625" style="38" customWidth="1"/>
    <col min="36" max="36" width="12.73046875" style="38" customWidth="1"/>
    <col min="37" max="37" width="10" style="38" customWidth="1"/>
    <col min="38" max="38" width="11.73046875" style="38" customWidth="1"/>
    <col min="39" max="39" width="9.9296875" style="38" customWidth="1"/>
    <col min="40" max="40" width="10.1328125" style="38" customWidth="1"/>
    <col min="41" max="41" width="9.73046875" style="38" customWidth="1"/>
    <col min="42" max="42" width="11.06640625" style="38" customWidth="1"/>
    <col min="43" max="43" width="13.265625" style="38" customWidth="1"/>
    <col min="44" max="44" width="9.46484375" style="38" customWidth="1"/>
    <col min="45" max="45" width="11.6640625" style="38" customWidth="1"/>
    <col min="46" max="47" width="9.06640625" style="35"/>
  </cols>
  <sheetData>
    <row r="1" spans="1:52" s="9" customFormat="1" ht="57">
      <c r="A1" s="9" t="s">
        <v>1730</v>
      </c>
      <c r="B1" s="9" t="s">
        <v>38</v>
      </c>
      <c r="C1" s="9" t="s">
        <v>264</v>
      </c>
      <c r="D1" s="9" t="s">
        <v>1728</v>
      </c>
      <c r="E1" s="9" t="s">
        <v>1729</v>
      </c>
      <c r="F1" s="9" t="s">
        <v>1731</v>
      </c>
      <c r="G1" s="9" t="s">
        <v>1046</v>
      </c>
      <c r="H1" s="9" t="s">
        <v>1732</v>
      </c>
      <c r="I1" s="9" t="s">
        <v>1733</v>
      </c>
      <c r="J1" s="9" t="s">
        <v>1734</v>
      </c>
      <c r="K1" s="9" t="s">
        <v>1735</v>
      </c>
      <c r="L1" s="9" t="s">
        <v>1736</v>
      </c>
      <c r="M1" s="9" t="s">
        <v>1737</v>
      </c>
      <c r="N1" s="9" t="s">
        <v>1738</v>
      </c>
      <c r="O1" s="9" t="s">
        <v>1739</v>
      </c>
      <c r="P1" s="9" t="s">
        <v>1740</v>
      </c>
      <c r="Q1" s="9" t="s">
        <v>1741</v>
      </c>
      <c r="R1" s="9" t="s">
        <v>1742</v>
      </c>
      <c r="S1" s="9" t="s">
        <v>1743</v>
      </c>
      <c r="T1" s="9" t="s">
        <v>1744</v>
      </c>
      <c r="U1" s="9" t="s">
        <v>1745</v>
      </c>
      <c r="V1" s="9" t="s">
        <v>1746</v>
      </c>
      <c r="W1" s="9" t="s">
        <v>1747</v>
      </c>
      <c r="X1" s="9" t="s">
        <v>1748</v>
      </c>
      <c r="Y1" s="9" t="s">
        <v>1749</v>
      </c>
      <c r="Z1" s="9" t="s">
        <v>1750</v>
      </c>
      <c r="AA1" s="9" t="s">
        <v>1751</v>
      </c>
      <c r="AB1" s="9" t="s">
        <v>1752</v>
      </c>
      <c r="AC1" s="9" t="s">
        <v>1753</v>
      </c>
      <c r="AD1" s="9" t="s">
        <v>1754</v>
      </c>
      <c r="AE1" s="9" t="s">
        <v>1755</v>
      </c>
      <c r="AF1" s="9" t="s">
        <v>1756</v>
      </c>
      <c r="AG1" s="9" t="s">
        <v>1757</v>
      </c>
      <c r="AH1" s="9" t="s">
        <v>1758</v>
      </c>
      <c r="AI1" s="9" t="s">
        <v>1759</v>
      </c>
      <c r="AJ1" s="9" t="s">
        <v>1760</v>
      </c>
      <c r="AK1" s="9" t="s">
        <v>1727</v>
      </c>
      <c r="AL1" s="9" t="s">
        <v>1726</v>
      </c>
      <c r="AM1" s="9" t="s">
        <v>1725</v>
      </c>
      <c r="AN1" s="9" t="s">
        <v>1761</v>
      </c>
      <c r="AO1" s="9" t="s">
        <v>852</v>
      </c>
      <c r="AP1" s="9" t="s">
        <v>676</v>
      </c>
      <c r="AQ1" s="9" t="s">
        <v>677</v>
      </c>
      <c r="AR1" s="9" t="s">
        <v>1762</v>
      </c>
      <c r="AS1" s="9" t="s">
        <v>792</v>
      </c>
      <c r="AT1" s="22" t="s">
        <v>1692</v>
      </c>
      <c r="AU1" s="22"/>
    </row>
    <row r="2" spans="1:52" ht="14.25" customHeight="1">
      <c r="A2" s="38">
        <v>1</v>
      </c>
      <c r="B2" s="38" t="s">
        <v>39</v>
      </c>
      <c r="C2" s="38" t="s">
        <v>272</v>
      </c>
      <c r="F2" s="38">
        <v>111.66</v>
      </c>
      <c r="G2" s="38">
        <v>0.99450000000000005</v>
      </c>
      <c r="H2" s="38">
        <v>422.62</v>
      </c>
      <c r="K2" s="38">
        <v>-74.87</v>
      </c>
      <c r="M2" s="38">
        <v>-50.8</v>
      </c>
      <c r="T2" s="38">
        <v>90.7</v>
      </c>
      <c r="AB2" s="38">
        <v>2225.06</v>
      </c>
      <c r="AD2" s="38">
        <v>3.5000000000000003E-2</v>
      </c>
      <c r="AL2" s="38">
        <v>20000000</v>
      </c>
      <c r="AO2" s="38">
        <v>16.042999999999999</v>
      </c>
      <c r="AP2" s="38">
        <v>3592.5</v>
      </c>
      <c r="AQ2" s="38">
        <v>6107.5</v>
      </c>
      <c r="AS2" s="38">
        <v>1.32</v>
      </c>
      <c r="AV2" t="s">
        <v>837</v>
      </c>
    </row>
    <row r="3" spans="1:52">
      <c r="A3" s="38">
        <v>2</v>
      </c>
      <c r="B3" s="38" t="s">
        <v>40</v>
      </c>
      <c r="C3" s="38" t="s">
        <v>272</v>
      </c>
      <c r="F3" s="38">
        <v>184.6</v>
      </c>
      <c r="G3" s="38">
        <v>2.1560000000000001</v>
      </c>
      <c r="H3" s="38">
        <v>544.6</v>
      </c>
      <c r="K3" s="38">
        <v>-84</v>
      </c>
      <c r="M3" s="38">
        <v>-32.9</v>
      </c>
      <c r="T3" s="38">
        <v>90.4</v>
      </c>
      <c r="AB3" s="38">
        <v>1746</v>
      </c>
      <c r="AD3" s="38">
        <v>17.960799999999999</v>
      </c>
      <c r="AL3" s="38">
        <v>8.6129000000000002E-6</v>
      </c>
      <c r="AO3" s="38">
        <v>30.07</v>
      </c>
      <c r="AP3" s="38">
        <v>2790</v>
      </c>
      <c r="AQ3" s="38">
        <v>5645</v>
      </c>
      <c r="AS3" s="38">
        <v>1.18</v>
      </c>
      <c r="AV3" s="38" t="s">
        <v>678</v>
      </c>
    </row>
    <row r="4" spans="1:52">
      <c r="A4" s="38">
        <v>3</v>
      </c>
      <c r="B4" s="38" t="s">
        <v>41</v>
      </c>
      <c r="C4" s="38" t="s">
        <v>272</v>
      </c>
      <c r="F4" s="38">
        <v>341.6</v>
      </c>
      <c r="G4" s="38">
        <v>1.45</v>
      </c>
      <c r="H4" s="38">
        <v>580</v>
      </c>
      <c r="K4" s="38">
        <v>-104.5</v>
      </c>
      <c r="M4" s="38">
        <v>-23.4</v>
      </c>
      <c r="T4" s="38">
        <v>177</v>
      </c>
      <c r="AB4" s="38">
        <v>3077.28</v>
      </c>
      <c r="AD4" s="38">
        <v>1.7000000000000001E-2</v>
      </c>
      <c r="AL4" s="38">
        <v>2.9399999999999999E-4</v>
      </c>
      <c r="AO4" s="38">
        <v>44.097000000000001</v>
      </c>
      <c r="AS4" s="38">
        <v>1.1299999999999999</v>
      </c>
      <c r="AV4" s="38" t="s">
        <v>263</v>
      </c>
    </row>
    <row r="5" spans="1:52">
      <c r="A5" s="38">
        <v>4</v>
      </c>
      <c r="B5" s="38" t="s">
        <v>42</v>
      </c>
      <c r="C5" s="38" t="s">
        <v>272</v>
      </c>
      <c r="F5" s="38">
        <v>272</v>
      </c>
      <c r="G5" s="38">
        <v>1.6</v>
      </c>
      <c r="H5" s="38">
        <v>604</v>
      </c>
      <c r="K5" s="38">
        <v>-126.3</v>
      </c>
      <c r="M5" s="38">
        <v>-15.6</v>
      </c>
      <c r="T5" s="38">
        <v>133</v>
      </c>
      <c r="AB5" s="38">
        <v>1694.6</v>
      </c>
      <c r="AD5" s="38">
        <v>1.7000000000000001E-2</v>
      </c>
      <c r="AL5" s="38">
        <v>1.4999999999999999E-4</v>
      </c>
      <c r="AO5" s="38">
        <v>58.124000000000002</v>
      </c>
      <c r="AV5" s="38" t="s">
        <v>262</v>
      </c>
    </row>
    <row r="6" spans="1:52">
      <c r="A6" s="38">
        <v>5</v>
      </c>
      <c r="B6" s="38" t="s">
        <v>43</v>
      </c>
      <c r="C6" s="38" t="s">
        <v>272</v>
      </c>
      <c r="F6" s="38">
        <v>309</v>
      </c>
      <c r="G6" s="38">
        <v>1.02</v>
      </c>
      <c r="H6" s="38">
        <v>626</v>
      </c>
      <c r="K6" s="38">
        <v>-173.2</v>
      </c>
      <c r="M6" s="38">
        <v>-9.1999999999999993</v>
      </c>
      <c r="T6" s="38">
        <v>142.69999999999999</v>
      </c>
      <c r="AB6" s="38">
        <v>2317.2600000000002</v>
      </c>
      <c r="AD6" s="38">
        <v>0.13600000000000001</v>
      </c>
      <c r="AL6" s="38">
        <v>2.4000000000000001E-4</v>
      </c>
      <c r="AO6" s="38">
        <v>72.150999999999996</v>
      </c>
      <c r="AV6" s="38"/>
    </row>
    <row r="7" spans="1:52">
      <c r="A7" s="38">
        <v>6</v>
      </c>
      <c r="B7" s="38" t="s">
        <v>44</v>
      </c>
      <c r="C7" s="38" t="s">
        <v>272</v>
      </c>
      <c r="F7" s="38">
        <v>446.9</v>
      </c>
      <c r="G7" s="38">
        <v>1.056</v>
      </c>
      <c r="H7" s="38">
        <v>730.05</v>
      </c>
      <c r="K7" s="38">
        <v>-302.10000000000002</v>
      </c>
      <c r="M7" s="38">
        <v>17.399999999999999</v>
      </c>
      <c r="T7" s="38">
        <v>242.7</v>
      </c>
      <c r="AB7" s="38">
        <v>2217.02</v>
      </c>
      <c r="AD7" s="38">
        <v>0.14699999999999999</v>
      </c>
      <c r="AL7" s="38">
        <v>9.2000000000000003E-4</v>
      </c>
      <c r="AO7" s="38">
        <v>142.286</v>
      </c>
      <c r="AV7" t="s">
        <v>2197</v>
      </c>
    </row>
    <row r="8" spans="1:52" ht="14.25" customHeight="1">
      <c r="A8" s="38">
        <v>7</v>
      </c>
      <c r="B8" s="38" t="s">
        <v>45</v>
      </c>
      <c r="C8" s="38" t="s">
        <v>272</v>
      </c>
      <c r="F8" s="38">
        <v>145.30000000000001</v>
      </c>
      <c r="G8" s="38">
        <v>1.46E-2</v>
      </c>
      <c r="H8" s="38">
        <v>1603</v>
      </c>
      <c r="K8" s="38">
        <v>-933.2</v>
      </c>
      <c r="M8" s="38">
        <v>0</v>
      </c>
      <c r="T8" s="38">
        <v>89.5</v>
      </c>
      <c r="AB8" s="38">
        <v>660</v>
      </c>
      <c r="AD8" s="38">
        <v>1.503E-2</v>
      </c>
      <c r="AL8" s="38">
        <v>1.6099999999999998E-5</v>
      </c>
      <c r="AO8" s="38">
        <v>88.004300000000001</v>
      </c>
      <c r="AV8" s="598" t="s">
        <v>2211</v>
      </c>
      <c r="AW8" s="598"/>
      <c r="AX8" s="598"/>
      <c r="AY8" s="598"/>
      <c r="AZ8" s="598"/>
    </row>
    <row r="9" spans="1:52">
      <c r="A9" s="38">
        <v>8</v>
      </c>
      <c r="B9" s="38" t="s">
        <v>46</v>
      </c>
      <c r="C9" s="38" t="s">
        <v>272</v>
      </c>
      <c r="H9" s="38">
        <v>2200</v>
      </c>
      <c r="J9" s="38">
        <v>60</v>
      </c>
      <c r="T9" s="38">
        <v>873</v>
      </c>
      <c r="W9" s="38">
        <v>2.1</v>
      </c>
      <c r="Y9" s="38">
        <v>1E+16</v>
      </c>
      <c r="Z9" s="38">
        <v>0.8</v>
      </c>
      <c r="AA9" s="38">
        <v>0.17100000000000001</v>
      </c>
      <c r="AB9" s="38">
        <v>1400</v>
      </c>
      <c r="AD9" s="38">
        <v>0.25</v>
      </c>
      <c r="AE9" s="38">
        <v>1.35E-4</v>
      </c>
      <c r="AK9" s="38">
        <v>43</v>
      </c>
      <c r="AM9" s="38">
        <v>23</v>
      </c>
      <c r="AN9" s="38">
        <v>0.5</v>
      </c>
      <c r="AO9" s="38">
        <v>100.02</v>
      </c>
      <c r="AV9" s="598"/>
      <c r="AW9" s="598"/>
      <c r="AX9" s="598"/>
      <c r="AY9" s="598"/>
      <c r="AZ9" s="598"/>
    </row>
    <row r="10" spans="1:52">
      <c r="A10" s="38">
        <v>9</v>
      </c>
      <c r="B10" s="38" t="s">
        <v>47</v>
      </c>
      <c r="C10" s="38" t="s">
        <v>272</v>
      </c>
      <c r="F10" s="38">
        <v>376</v>
      </c>
      <c r="G10" s="38">
        <v>8.6999999999999994E-2</v>
      </c>
      <c r="H10" s="38">
        <v>1137.0999999999999</v>
      </c>
      <c r="K10" s="38">
        <v>-113</v>
      </c>
      <c r="M10" s="38">
        <v>-14.4</v>
      </c>
      <c r="T10" s="38">
        <v>244.15</v>
      </c>
      <c r="AB10" s="38">
        <v>1736.23</v>
      </c>
      <c r="AD10" s="38">
        <v>0.16456000000000001</v>
      </c>
      <c r="AL10" s="38">
        <v>6.2E-4</v>
      </c>
      <c r="AO10" s="38">
        <v>61.04</v>
      </c>
      <c r="AV10" s="598"/>
      <c r="AW10" s="598"/>
      <c r="AX10" s="598"/>
      <c r="AY10" s="598"/>
      <c r="AZ10" s="598"/>
    </row>
    <row r="11" spans="1:52">
      <c r="A11" s="38">
        <v>10</v>
      </c>
      <c r="B11" s="38" t="s">
        <v>48</v>
      </c>
      <c r="C11" s="38" t="s">
        <v>272</v>
      </c>
      <c r="F11" s="38">
        <v>283.8</v>
      </c>
      <c r="G11" s="38">
        <v>1.06</v>
      </c>
      <c r="H11" s="38">
        <v>882</v>
      </c>
      <c r="K11" s="38">
        <v>-51.036999999999999</v>
      </c>
      <c r="M11" s="38">
        <v>-11.68</v>
      </c>
      <c r="T11" s="38">
        <v>161.80000000000001</v>
      </c>
      <c r="AB11" s="38">
        <v>1878</v>
      </c>
      <c r="AD11" s="38">
        <v>0.2</v>
      </c>
      <c r="AE11" s="38">
        <v>1.6999999999999999E-3</v>
      </c>
      <c r="AL11" s="38">
        <v>577</v>
      </c>
      <c r="AO11" s="38">
        <v>44.052</v>
      </c>
    </row>
    <row r="12" spans="1:52">
      <c r="A12" s="38">
        <v>11</v>
      </c>
      <c r="B12" s="38" t="s">
        <v>49</v>
      </c>
      <c r="C12" s="38" t="s">
        <v>272</v>
      </c>
      <c r="H12" s="38">
        <v>910</v>
      </c>
      <c r="J12" s="38">
        <v>160</v>
      </c>
      <c r="T12" s="38">
        <v>408</v>
      </c>
      <c r="W12" s="38">
        <v>2.2999999999999998</v>
      </c>
      <c r="Y12" s="38">
        <v>1000000000000000</v>
      </c>
      <c r="Z12" s="38">
        <v>0.2</v>
      </c>
      <c r="AA12" s="38">
        <v>0.11700000000000001</v>
      </c>
      <c r="AB12" s="38">
        <v>1000</v>
      </c>
      <c r="AD12" s="38">
        <v>0.40960000000000002</v>
      </c>
      <c r="AE12" s="38">
        <v>1.08E-4</v>
      </c>
      <c r="AK12" s="38">
        <v>37</v>
      </c>
      <c r="AM12" s="38">
        <v>26</v>
      </c>
      <c r="AN12" s="38">
        <v>0.29299999999999998</v>
      </c>
      <c r="AO12" s="264">
        <v>28.05</v>
      </c>
      <c r="AS12" s="38">
        <v>1.24</v>
      </c>
    </row>
    <row r="13" spans="1:52">
      <c r="A13" s="38">
        <v>12</v>
      </c>
      <c r="B13" s="38" t="s">
        <v>50</v>
      </c>
      <c r="C13" s="38" t="s">
        <v>272</v>
      </c>
      <c r="H13" s="38">
        <v>970</v>
      </c>
      <c r="J13" s="38">
        <v>90</v>
      </c>
      <c r="T13" s="38">
        <v>425</v>
      </c>
      <c r="W13" s="38">
        <v>2.25</v>
      </c>
      <c r="Y13" s="38">
        <v>100000000000000</v>
      </c>
      <c r="Z13" s="38">
        <v>0.8</v>
      </c>
      <c r="AA13" s="38">
        <v>58.9</v>
      </c>
      <c r="AB13" s="38">
        <v>1850</v>
      </c>
      <c r="AD13" s="38">
        <v>20</v>
      </c>
      <c r="AE13" s="38">
        <v>1.1E-4</v>
      </c>
      <c r="AK13" s="38">
        <v>3900</v>
      </c>
      <c r="AM13" s="38">
        <v>3900</v>
      </c>
      <c r="AN13" s="38">
        <v>172</v>
      </c>
      <c r="AO13" s="38">
        <v>2805000</v>
      </c>
    </row>
    <row r="14" spans="1:52">
      <c r="A14" s="38">
        <v>13</v>
      </c>
      <c r="B14" s="38" t="s">
        <v>51</v>
      </c>
      <c r="C14" s="38" t="s">
        <v>272</v>
      </c>
      <c r="H14" s="38">
        <v>1440</v>
      </c>
      <c r="O14" s="38" t="b">
        <v>1</v>
      </c>
      <c r="Q14" s="38" t="b">
        <v>1</v>
      </c>
      <c r="T14" s="38">
        <v>773</v>
      </c>
      <c r="W14" s="38">
        <v>4</v>
      </c>
      <c r="Y14" s="38">
        <v>5988000</v>
      </c>
      <c r="Z14" s="38">
        <v>0.5</v>
      </c>
      <c r="AA14" s="38">
        <v>41.3</v>
      </c>
      <c r="AB14" s="38">
        <v>1420</v>
      </c>
      <c r="AD14" s="38">
        <v>0.04</v>
      </c>
      <c r="AE14" s="38">
        <v>3.9999999999999998E-6</v>
      </c>
      <c r="AK14" s="38">
        <v>3757</v>
      </c>
      <c r="AM14" s="38">
        <v>3757</v>
      </c>
      <c r="AN14" s="38">
        <v>112.4</v>
      </c>
    </row>
    <row r="15" spans="1:52">
      <c r="A15" s="38">
        <v>14</v>
      </c>
      <c r="B15" s="38" t="s">
        <v>52</v>
      </c>
      <c r="C15" s="38" t="s">
        <v>272</v>
      </c>
      <c r="H15" s="38">
        <v>3030</v>
      </c>
      <c r="O15" s="38" t="b">
        <v>1</v>
      </c>
      <c r="Q15" s="38" t="b">
        <v>1</v>
      </c>
      <c r="T15" s="38">
        <v>2073</v>
      </c>
      <c r="W15" s="38">
        <v>5.8</v>
      </c>
      <c r="Y15" s="38">
        <v>100000000</v>
      </c>
      <c r="Z15" s="38">
        <v>0.9</v>
      </c>
      <c r="AA15" s="38">
        <v>140</v>
      </c>
      <c r="AB15" s="38">
        <v>1130</v>
      </c>
      <c r="AD15" s="38">
        <v>0.12</v>
      </c>
      <c r="AE15" s="38" t="s">
        <v>53</v>
      </c>
      <c r="AK15" s="38">
        <v>3100</v>
      </c>
      <c r="AM15" s="38">
        <v>3100</v>
      </c>
      <c r="AN15" s="38">
        <v>380</v>
      </c>
    </row>
    <row r="16" spans="1:52">
      <c r="A16" s="38">
        <v>15</v>
      </c>
      <c r="B16" s="38" t="s">
        <v>54</v>
      </c>
      <c r="C16" s="38" t="s">
        <v>272</v>
      </c>
      <c r="H16" s="38">
        <v>1540</v>
      </c>
      <c r="O16" s="38" t="b">
        <v>1</v>
      </c>
      <c r="Q16" s="38" t="b">
        <v>1</v>
      </c>
      <c r="T16" s="38">
        <v>823</v>
      </c>
      <c r="W16" s="38">
        <v>3</v>
      </c>
      <c r="Z16" s="38">
        <v>0.7</v>
      </c>
      <c r="AA16" s="38">
        <v>107.7</v>
      </c>
      <c r="AB16" s="38">
        <v>650</v>
      </c>
      <c r="AD16" s="38">
        <v>1.165</v>
      </c>
      <c r="AE16" s="38" t="s">
        <v>55</v>
      </c>
      <c r="AK16" s="38">
        <v>5800</v>
      </c>
      <c r="AM16" s="38">
        <v>550</v>
      </c>
      <c r="AN16" s="38">
        <v>280</v>
      </c>
    </row>
    <row r="17" spans="1:45">
      <c r="A17" s="38">
        <v>16</v>
      </c>
      <c r="B17" s="38" t="s">
        <v>56</v>
      </c>
      <c r="C17" s="38" t="s">
        <v>272</v>
      </c>
      <c r="H17" s="38">
        <v>1390</v>
      </c>
      <c r="O17" s="38" t="b">
        <v>1</v>
      </c>
      <c r="Q17" s="38" t="b">
        <v>1</v>
      </c>
      <c r="T17" s="38">
        <v>773</v>
      </c>
      <c r="Z17" s="38">
        <v>0.4</v>
      </c>
      <c r="AA17" s="38">
        <v>26.6</v>
      </c>
      <c r="AB17" s="38">
        <v>1090</v>
      </c>
      <c r="AD17" s="38">
        <v>1.988</v>
      </c>
      <c r="AE17" s="38" t="s">
        <v>57</v>
      </c>
      <c r="AK17" s="38">
        <v>3400</v>
      </c>
      <c r="AM17" s="38">
        <v>3400</v>
      </c>
      <c r="AN17" s="38">
        <v>73</v>
      </c>
    </row>
    <row r="18" spans="1:45">
      <c r="A18" s="38">
        <v>17</v>
      </c>
      <c r="B18" s="38" t="s">
        <v>58</v>
      </c>
      <c r="C18" s="38" t="s">
        <v>272</v>
      </c>
      <c r="H18" s="38">
        <v>1400</v>
      </c>
      <c r="O18" s="38" t="b">
        <v>1</v>
      </c>
      <c r="Q18" s="38" t="b">
        <v>1</v>
      </c>
      <c r="T18" s="38">
        <v>603</v>
      </c>
      <c r="W18" s="38">
        <v>3.3</v>
      </c>
      <c r="Z18" s="38">
        <v>0.3</v>
      </c>
      <c r="AA18" s="38">
        <v>5.49</v>
      </c>
      <c r="AB18" s="38">
        <v>1100</v>
      </c>
      <c r="AD18" s="38">
        <v>1.5</v>
      </c>
      <c r="AE18" s="38">
        <v>-4.7999999999999998E-6</v>
      </c>
      <c r="AK18" s="38">
        <v>3200</v>
      </c>
      <c r="AM18" s="38">
        <v>3150</v>
      </c>
      <c r="AN18" s="38">
        <v>15</v>
      </c>
    </row>
    <row r="19" spans="1:45">
      <c r="A19" s="38">
        <v>18</v>
      </c>
      <c r="B19" s="38" t="s">
        <v>59</v>
      </c>
      <c r="C19" s="38" t="s">
        <v>272</v>
      </c>
      <c r="H19" s="38">
        <v>1140</v>
      </c>
      <c r="J19" s="38">
        <v>26.7</v>
      </c>
      <c r="T19" s="38">
        <v>383</v>
      </c>
      <c r="W19" s="38">
        <v>2.4</v>
      </c>
      <c r="Y19" s="38">
        <v>1000000000000</v>
      </c>
      <c r="Z19" s="38">
        <v>0.9</v>
      </c>
      <c r="AA19" s="38">
        <v>3.4399999999999999E-3</v>
      </c>
      <c r="AB19" s="38">
        <v>1350</v>
      </c>
      <c r="AD19" s="38">
        <v>0.24</v>
      </c>
      <c r="AE19" s="38">
        <v>7.0200000000000004E-4</v>
      </c>
      <c r="AK19" s="38">
        <v>24.1</v>
      </c>
      <c r="AM19" s="38">
        <v>2.83</v>
      </c>
      <c r="AN19" s="38">
        <v>1.03E-2</v>
      </c>
    </row>
    <row r="20" spans="1:45">
      <c r="A20" s="38">
        <v>19</v>
      </c>
      <c r="B20" s="38" t="s">
        <v>60</v>
      </c>
      <c r="C20" s="38" t="s">
        <v>272</v>
      </c>
      <c r="H20" s="38">
        <v>1310</v>
      </c>
      <c r="N20" s="38" t="b">
        <v>1</v>
      </c>
      <c r="O20" s="38" t="b">
        <v>1</v>
      </c>
      <c r="Q20" s="38" t="b">
        <v>1</v>
      </c>
      <c r="T20" s="38">
        <v>603</v>
      </c>
      <c r="Z20" s="38">
        <v>0.01</v>
      </c>
      <c r="AA20" s="38">
        <v>5.34</v>
      </c>
      <c r="AB20" s="38">
        <v>537.79999999999995</v>
      </c>
      <c r="AD20" s="38">
        <v>216</v>
      </c>
      <c r="AE20" s="38">
        <v>1.06E-3</v>
      </c>
      <c r="AK20" s="38">
        <v>1970</v>
      </c>
      <c r="AM20" s="38">
        <v>1300</v>
      </c>
      <c r="AN20" s="38">
        <v>12.71</v>
      </c>
    </row>
    <row r="21" spans="1:45">
      <c r="A21" s="38">
        <v>20</v>
      </c>
      <c r="B21" s="38" t="s">
        <v>61</v>
      </c>
      <c r="C21" s="38" t="s">
        <v>272</v>
      </c>
      <c r="H21" s="38">
        <v>2485</v>
      </c>
      <c r="J21" s="38">
        <v>20</v>
      </c>
      <c r="O21" s="38" t="b">
        <v>1</v>
      </c>
      <c r="Q21" s="38" t="b">
        <v>1</v>
      </c>
      <c r="T21" s="38">
        <v>763</v>
      </c>
      <c r="W21" s="38">
        <v>5.34</v>
      </c>
      <c r="Y21" s="38">
        <v>100000000</v>
      </c>
      <c r="Z21" s="38">
        <v>0.5</v>
      </c>
      <c r="AA21" s="38">
        <v>39</v>
      </c>
      <c r="AB21" s="38">
        <v>740</v>
      </c>
      <c r="AD21" s="38">
        <v>1.35</v>
      </c>
      <c r="AE21" s="38">
        <v>2.9500000000000001E-6</v>
      </c>
      <c r="AK21" s="38">
        <v>4800</v>
      </c>
      <c r="AM21" s="38">
        <v>4710</v>
      </c>
      <c r="AN21" s="38">
        <v>93</v>
      </c>
    </row>
    <row r="22" spans="1:45">
      <c r="A22" s="38">
        <v>21</v>
      </c>
      <c r="B22" s="38" t="s">
        <v>62</v>
      </c>
      <c r="C22" s="38" t="s">
        <v>272</v>
      </c>
      <c r="H22" s="38">
        <v>2750</v>
      </c>
      <c r="O22" s="38" t="b">
        <v>1</v>
      </c>
      <c r="Q22" s="38" t="b">
        <v>1</v>
      </c>
      <c r="T22" s="38">
        <v>1673</v>
      </c>
      <c r="W22" s="38">
        <v>2.2000000000000002</v>
      </c>
      <c r="Y22" s="38">
        <v>1000000000000</v>
      </c>
      <c r="Z22" s="38">
        <v>0.1</v>
      </c>
      <c r="AA22" s="38">
        <v>35.317</v>
      </c>
      <c r="AB22" s="38">
        <v>840</v>
      </c>
      <c r="AD22" s="38">
        <v>3.7999999999999999E-2</v>
      </c>
      <c r="AE22" s="38">
        <v>7.9999999999999996E-6</v>
      </c>
      <c r="AK22" s="38">
        <v>4840</v>
      </c>
      <c r="AM22" s="38">
        <v>4840</v>
      </c>
      <c r="AN22" s="38">
        <v>89</v>
      </c>
    </row>
    <row r="23" spans="1:45">
      <c r="A23" s="38">
        <v>22</v>
      </c>
      <c r="B23" s="38" t="s">
        <v>63</v>
      </c>
      <c r="C23" s="38" t="s">
        <v>265</v>
      </c>
      <c r="F23" s="38">
        <v>373</v>
      </c>
      <c r="G23" s="38">
        <v>2.1509999999999998</v>
      </c>
      <c r="H23" s="38">
        <v>998.2</v>
      </c>
      <c r="J23" s="38">
        <v>65</v>
      </c>
      <c r="K23" s="38">
        <v>-285.83</v>
      </c>
      <c r="M23" s="38">
        <v>-237.14</v>
      </c>
      <c r="T23" s="38">
        <v>273</v>
      </c>
      <c r="V23" s="38">
        <v>0.99999199999999999</v>
      </c>
      <c r="W23" s="38">
        <v>80.099999999999994</v>
      </c>
      <c r="Y23" s="38">
        <v>180000</v>
      </c>
      <c r="AB23" s="38">
        <v>4183.95</v>
      </c>
      <c r="AD23" s="38">
        <v>0.60899999999999999</v>
      </c>
      <c r="AL23" s="38" t="s">
        <v>64</v>
      </c>
      <c r="AO23" s="38">
        <v>18.015999999999998</v>
      </c>
      <c r="AQ23" s="38">
        <v>40650</v>
      </c>
      <c r="AS23" s="38">
        <v>1.33</v>
      </c>
    </row>
    <row r="24" spans="1:45">
      <c r="A24" s="38">
        <v>23</v>
      </c>
      <c r="B24" s="38" t="s">
        <v>65</v>
      </c>
      <c r="C24" s="38" t="s">
        <v>265</v>
      </c>
      <c r="F24" s="38">
        <v>374.57</v>
      </c>
      <c r="G24" s="38">
        <v>2.1549999999999998</v>
      </c>
      <c r="H24" s="38">
        <v>1054</v>
      </c>
      <c r="K24" s="38">
        <v>-285.8</v>
      </c>
      <c r="M24" s="38">
        <v>-243.44</v>
      </c>
      <c r="T24" s="38">
        <v>276.95999999999998</v>
      </c>
      <c r="V24" s="38">
        <v>0.99999199999999999</v>
      </c>
      <c r="W24" s="38">
        <v>79.900000000000006</v>
      </c>
      <c r="AB24" s="38">
        <v>3975</v>
      </c>
      <c r="AD24" s="38">
        <v>0.60199999999999998</v>
      </c>
      <c r="AL24" s="38">
        <v>1.1248E-3</v>
      </c>
    </row>
    <row r="25" spans="1:45">
      <c r="A25" s="38">
        <v>24</v>
      </c>
      <c r="B25" s="38" t="s">
        <v>66</v>
      </c>
      <c r="C25" s="38" t="s">
        <v>265</v>
      </c>
      <c r="F25" s="38">
        <v>374.4</v>
      </c>
      <c r="G25" s="38">
        <v>2.2610000000000001</v>
      </c>
      <c r="H25" s="38">
        <v>1105.5999999999999</v>
      </c>
      <c r="K25" s="38">
        <v>-285.8</v>
      </c>
      <c r="M25" s="38">
        <v>-243.44</v>
      </c>
      <c r="T25" s="38">
        <v>276.82</v>
      </c>
      <c r="V25" s="38">
        <v>0.99999199999999999</v>
      </c>
      <c r="W25" s="38">
        <v>79.754000000000005</v>
      </c>
      <c r="AB25" s="38">
        <v>3767</v>
      </c>
      <c r="AD25" s="38">
        <v>0.59499999999999997</v>
      </c>
      <c r="AL25" s="38">
        <v>1.2466999999999999E-3</v>
      </c>
      <c r="AO25" s="38">
        <v>20.0276</v>
      </c>
      <c r="AQ25" s="38">
        <v>41521</v>
      </c>
    </row>
    <row r="26" spans="1:45">
      <c r="A26" s="38">
        <v>25</v>
      </c>
      <c r="B26" s="38" t="s">
        <v>67</v>
      </c>
      <c r="C26" s="38" t="s">
        <v>265</v>
      </c>
      <c r="F26" s="38">
        <v>77.355000000000004</v>
      </c>
      <c r="G26" s="38">
        <v>8.8529999999999998E-2</v>
      </c>
      <c r="H26" s="38">
        <v>808</v>
      </c>
      <c r="K26" s="38">
        <v>0</v>
      </c>
      <c r="M26" s="38">
        <v>0</v>
      </c>
      <c r="T26" s="38">
        <v>63.15</v>
      </c>
      <c r="V26" s="38">
        <v>0.9999999946</v>
      </c>
      <c r="AB26" s="38">
        <v>2079.2399999999998</v>
      </c>
      <c r="AD26" s="38">
        <v>2.5829999999999999E-2</v>
      </c>
      <c r="AL26" s="38">
        <v>1.8E-5</v>
      </c>
      <c r="AO26" s="38">
        <v>28.02</v>
      </c>
      <c r="AS26" s="38">
        <v>1.4</v>
      </c>
    </row>
    <row r="27" spans="1:45">
      <c r="A27" s="38">
        <v>26</v>
      </c>
      <c r="B27" s="38" t="s">
        <v>68</v>
      </c>
      <c r="C27" s="38" t="s">
        <v>265</v>
      </c>
      <c r="F27" s="38">
        <v>294.3</v>
      </c>
      <c r="G27" s="38">
        <v>0.104</v>
      </c>
      <c r="H27" s="38">
        <v>1447.58</v>
      </c>
      <c r="K27" s="38">
        <v>34</v>
      </c>
      <c r="M27" s="38">
        <v>51.3</v>
      </c>
      <c r="T27" s="38">
        <v>261.89999999999998</v>
      </c>
      <c r="AB27" s="38">
        <v>815.2</v>
      </c>
      <c r="AD27" s="38">
        <v>1.2961E-2</v>
      </c>
      <c r="AL27" s="38">
        <v>1.3310999999999999E-10</v>
      </c>
      <c r="AO27" s="38">
        <v>46.01</v>
      </c>
      <c r="AS27" s="38">
        <v>1.262</v>
      </c>
    </row>
    <row r="28" spans="1:45">
      <c r="A28" s="38">
        <v>27</v>
      </c>
      <c r="B28" s="38" t="s">
        <v>69</v>
      </c>
      <c r="C28" s="38" t="s">
        <v>265</v>
      </c>
      <c r="F28" s="38">
        <v>121</v>
      </c>
      <c r="G28" s="38">
        <v>0.14949999999999999</v>
      </c>
      <c r="H28" s="38">
        <v>1340.2</v>
      </c>
      <c r="K28" s="38">
        <v>90.29</v>
      </c>
      <c r="M28" s="38">
        <v>87.6</v>
      </c>
      <c r="T28" s="38">
        <v>109</v>
      </c>
      <c r="AB28" s="38">
        <v>995.67</v>
      </c>
      <c r="AD28" s="38">
        <v>2.3703100000000001E-2</v>
      </c>
      <c r="AL28" s="38">
        <v>1.7804000000000001E-5</v>
      </c>
      <c r="AS28" s="38">
        <v>1.4</v>
      </c>
    </row>
    <row r="29" spans="1:45">
      <c r="A29" s="38">
        <v>28</v>
      </c>
      <c r="B29" s="38" t="s">
        <v>70</v>
      </c>
      <c r="C29" s="38" t="s">
        <v>265</v>
      </c>
      <c r="F29" s="38">
        <v>184.67</v>
      </c>
      <c r="G29" s="38">
        <v>8.5109500000000005E-2</v>
      </c>
      <c r="H29" s="38">
        <v>1230.4580000000001</v>
      </c>
      <c r="K29" s="38">
        <v>82.05</v>
      </c>
      <c r="M29" s="38">
        <v>103.7</v>
      </c>
      <c r="T29" s="38">
        <v>182.29</v>
      </c>
      <c r="AB29" s="38">
        <v>883.82899999999995</v>
      </c>
      <c r="AD29" s="38">
        <v>1.6464E-4</v>
      </c>
      <c r="AL29" s="38">
        <v>1.3631E-5</v>
      </c>
      <c r="AS29" s="38">
        <v>1.31</v>
      </c>
    </row>
    <row r="30" spans="1:45">
      <c r="A30" s="38">
        <v>29</v>
      </c>
      <c r="B30" s="38" t="s">
        <v>71</v>
      </c>
      <c r="C30" s="38" t="s">
        <v>265</v>
      </c>
      <c r="F30" s="38">
        <v>81.599999999999994</v>
      </c>
      <c r="G30" s="38">
        <v>8.9069999999999996E-2</v>
      </c>
      <c r="H30" s="38">
        <v>789</v>
      </c>
      <c r="K30" s="38">
        <v>-110.5</v>
      </c>
      <c r="M30" s="38">
        <v>-137.16</v>
      </c>
      <c r="T30" s="38">
        <v>68.13</v>
      </c>
      <c r="AB30" s="38">
        <v>1038.9100000000001</v>
      </c>
      <c r="AD30" s="38">
        <v>2.3199999999999998E-2</v>
      </c>
      <c r="AL30" s="38">
        <v>1.8E-5</v>
      </c>
      <c r="AO30" s="38">
        <v>28.01</v>
      </c>
      <c r="AS30" s="38">
        <v>1.4</v>
      </c>
    </row>
    <row r="31" spans="1:45">
      <c r="A31" s="38">
        <v>30</v>
      </c>
      <c r="B31" s="38" t="s">
        <v>72</v>
      </c>
      <c r="C31" s="38" t="s">
        <v>265</v>
      </c>
      <c r="F31" s="38">
        <v>216.6</v>
      </c>
      <c r="G31" s="38">
        <v>0.104</v>
      </c>
      <c r="H31" s="38">
        <v>1562</v>
      </c>
      <c r="K31" s="38">
        <v>-393.5</v>
      </c>
      <c r="M31" s="38">
        <v>-394.39</v>
      </c>
      <c r="T31" s="38">
        <v>216.6</v>
      </c>
      <c r="V31" s="38">
        <v>0.99999999409999996</v>
      </c>
      <c r="AB31" s="38">
        <v>843.78499999999997</v>
      </c>
      <c r="AD31" s="38">
        <v>1.46E-2</v>
      </c>
      <c r="AL31" s="38">
        <v>6.9999999999999994E-5</v>
      </c>
      <c r="AO31" s="38">
        <v>44.01</v>
      </c>
      <c r="AS31" s="38">
        <v>1.28</v>
      </c>
    </row>
    <row r="32" spans="1:45">
      <c r="A32" s="38">
        <v>31</v>
      </c>
      <c r="B32" s="38" t="s">
        <v>73</v>
      </c>
      <c r="C32" s="38" t="s">
        <v>265</v>
      </c>
      <c r="F32" s="38">
        <v>90</v>
      </c>
      <c r="G32" s="38">
        <v>0.1132</v>
      </c>
      <c r="H32" s="38">
        <v>1141</v>
      </c>
      <c r="K32" s="38">
        <v>0</v>
      </c>
      <c r="M32" s="38">
        <v>0</v>
      </c>
      <c r="T32" s="38">
        <v>50.5</v>
      </c>
      <c r="V32" s="38">
        <v>1.0000019</v>
      </c>
      <c r="AB32" s="38">
        <v>916</v>
      </c>
      <c r="AD32" s="38">
        <v>6.94</v>
      </c>
      <c r="AL32" s="38">
        <v>2.018E-5</v>
      </c>
      <c r="AO32" s="38">
        <v>32</v>
      </c>
      <c r="AS32" s="38">
        <v>1.4</v>
      </c>
    </row>
    <row r="33" spans="1:45">
      <c r="A33" s="38">
        <v>32</v>
      </c>
      <c r="B33" s="38" t="s">
        <v>74</v>
      </c>
      <c r="C33" s="38" t="s">
        <v>265</v>
      </c>
      <c r="F33" s="38">
        <v>20.28</v>
      </c>
      <c r="G33" s="38">
        <v>0.113</v>
      </c>
      <c r="H33" s="38">
        <v>70.849999999999994</v>
      </c>
      <c r="K33" s="38">
        <v>0</v>
      </c>
      <c r="M33" s="38">
        <v>0</v>
      </c>
      <c r="T33" s="38">
        <v>14.01</v>
      </c>
      <c r="V33" s="38">
        <v>0.99999997510000005</v>
      </c>
      <c r="AB33" s="38">
        <v>14310</v>
      </c>
      <c r="AD33" s="38">
        <v>0.1085</v>
      </c>
      <c r="AL33" s="38">
        <v>8.7600000000000008E-6</v>
      </c>
      <c r="AO33" s="38">
        <v>2.016</v>
      </c>
      <c r="AQ33" s="38">
        <v>449.36</v>
      </c>
      <c r="AS33" s="38">
        <v>1.41</v>
      </c>
    </row>
    <row r="34" spans="1:45">
      <c r="A34" s="38">
        <v>33</v>
      </c>
      <c r="B34" s="38" t="s">
        <v>75</v>
      </c>
      <c r="C34" s="38" t="s">
        <v>265</v>
      </c>
      <c r="F34" s="38">
        <v>22.13</v>
      </c>
      <c r="G34" s="38">
        <v>0.186</v>
      </c>
      <c r="H34" s="38">
        <v>116.63</v>
      </c>
      <c r="K34" s="38">
        <v>0</v>
      </c>
      <c r="M34" s="38">
        <v>0</v>
      </c>
      <c r="T34" s="38">
        <v>14.1</v>
      </c>
      <c r="AB34" s="38">
        <v>9755</v>
      </c>
      <c r="AD34" s="38">
        <v>0.1193</v>
      </c>
      <c r="AL34" s="38">
        <v>1.0679999999999999E-5</v>
      </c>
    </row>
    <row r="35" spans="1:45">
      <c r="A35" s="38">
        <v>34</v>
      </c>
      <c r="B35" s="38" t="s">
        <v>76</v>
      </c>
      <c r="C35" s="38" t="s">
        <v>265</v>
      </c>
      <c r="F35" s="38">
        <v>423.3</v>
      </c>
      <c r="G35" s="38">
        <v>1.637</v>
      </c>
      <c r="H35" s="38">
        <v>1450</v>
      </c>
      <c r="K35" s="38">
        <v>-187.8</v>
      </c>
      <c r="M35" s="38">
        <v>-120.42</v>
      </c>
      <c r="T35" s="38">
        <v>272.72000000000003</v>
      </c>
      <c r="AB35" s="38">
        <v>2619</v>
      </c>
      <c r="AD35" s="38">
        <v>0.60060000000000002</v>
      </c>
      <c r="AL35" s="38">
        <v>1.245E-3</v>
      </c>
      <c r="AQ35" s="35"/>
    </row>
    <row r="36" spans="1:45">
      <c r="A36" s="38">
        <v>35</v>
      </c>
      <c r="B36" s="38" t="s">
        <v>77</v>
      </c>
      <c r="C36" s="38" t="s">
        <v>265</v>
      </c>
      <c r="F36" s="38">
        <v>85.03</v>
      </c>
      <c r="G36" s="38">
        <v>0.187</v>
      </c>
      <c r="H36" s="38">
        <v>1696</v>
      </c>
      <c r="K36" s="38">
        <v>0</v>
      </c>
      <c r="M36" s="38">
        <v>0</v>
      </c>
      <c r="T36" s="38">
        <v>53.48</v>
      </c>
      <c r="AB36" s="38">
        <v>1631.72</v>
      </c>
      <c r="AD36" s="38">
        <v>2.5909999999999999E-2</v>
      </c>
      <c r="AL36" s="38">
        <v>2.1498999999999999E-5</v>
      </c>
      <c r="AO36" s="38">
        <v>38</v>
      </c>
    </row>
    <row r="37" spans="1:45">
      <c r="A37" s="38">
        <v>36</v>
      </c>
      <c r="B37" s="38" t="s">
        <v>78</v>
      </c>
      <c r="C37" s="38" t="s">
        <v>265</v>
      </c>
      <c r="F37" s="38">
        <v>292.60000000000002</v>
      </c>
      <c r="H37" s="38">
        <v>959</v>
      </c>
      <c r="K37" s="38">
        <v>-273.3</v>
      </c>
      <c r="M37" s="38">
        <v>-275.39999999999998</v>
      </c>
      <c r="T37" s="38">
        <v>189.6</v>
      </c>
      <c r="AB37" s="38">
        <v>1455.56</v>
      </c>
      <c r="AD37" s="38">
        <v>2.3529999999999999E-2</v>
      </c>
      <c r="AL37" s="38">
        <v>1.1399999999999999E-5</v>
      </c>
    </row>
    <row r="38" spans="1:45">
      <c r="A38" s="38">
        <v>37</v>
      </c>
      <c r="B38" s="38" t="s">
        <v>79</v>
      </c>
      <c r="C38" s="38" t="s">
        <v>265</v>
      </c>
      <c r="F38" s="38">
        <v>144.09</v>
      </c>
      <c r="H38" s="38">
        <v>1885</v>
      </c>
      <c r="K38" s="38">
        <v>-109</v>
      </c>
      <c r="M38" s="38">
        <v>-84.4</v>
      </c>
      <c r="T38" s="38">
        <v>66</v>
      </c>
      <c r="AB38" s="38">
        <v>2158.59</v>
      </c>
      <c r="AD38" s="38">
        <v>1.6022999999999999E-2</v>
      </c>
      <c r="AL38" s="38">
        <v>1.8122999999999999E-5</v>
      </c>
    </row>
    <row r="39" spans="1:45">
      <c r="A39" s="38">
        <v>38</v>
      </c>
      <c r="B39" s="38" t="s">
        <v>80</v>
      </c>
      <c r="C39" s="38" t="s">
        <v>265</v>
      </c>
      <c r="F39" s="38">
        <v>200</v>
      </c>
      <c r="H39" s="38">
        <v>1600</v>
      </c>
      <c r="K39" s="38">
        <v>-8.3699999999999992</v>
      </c>
      <c r="M39" s="38">
        <v>79.900000000000006</v>
      </c>
      <c r="T39" s="38">
        <v>108.5</v>
      </c>
      <c r="AB39" s="38">
        <v>761.48699999999997</v>
      </c>
      <c r="AD39" s="38">
        <v>0.06</v>
      </c>
    </row>
    <row r="40" spans="1:45">
      <c r="A40" s="38">
        <v>39</v>
      </c>
      <c r="B40" s="38" t="s">
        <v>81</v>
      </c>
      <c r="C40" s="38" t="s">
        <v>265</v>
      </c>
      <c r="F40" s="38">
        <v>386.7</v>
      </c>
      <c r="G40" s="38">
        <v>4.468</v>
      </c>
      <c r="H40" s="38">
        <v>1021</v>
      </c>
      <c r="K40" s="38">
        <v>50.63</v>
      </c>
      <c r="M40" s="38">
        <v>159.4</v>
      </c>
      <c r="T40" s="38">
        <v>274.7</v>
      </c>
      <c r="AB40" s="38">
        <v>3278</v>
      </c>
      <c r="AD40" s="38">
        <v>0.32</v>
      </c>
      <c r="AL40" s="38">
        <v>8.7600000000000004E-4</v>
      </c>
    </row>
    <row r="41" spans="1:45">
      <c r="A41" s="38">
        <v>40</v>
      </c>
      <c r="B41" s="38" t="s">
        <v>82</v>
      </c>
      <c r="C41" s="38" t="s">
        <v>265</v>
      </c>
      <c r="F41" s="38">
        <v>239.81</v>
      </c>
      <c r="G41" s="38">
        <v>0.13200000000000001</v>
      </c>
      <c r="H41" s="38">
        <v>681.9</v>
      </c>
      <c r="K41" s="38">
        <v>-46</v>
      </c>
      <c r="M41" s="38">
        <v>-26.57</v>
      </c>
      <c r="T41" s="38">
        <v>195.42</v>
      </c>
      <c r="V41" s="38">
        <v>0.99999998619999997</v>
      </c>
      <c r="AB41" s="38">
        <v>4610</v>
      </c>
      <c r="AD41" s="38">
        <v>0.54</v>
      </c>
      <c r="AL41" s="38">
        <v>2.7599999999999999E-4</v>
      </c>
      <c r="AS41" s="38">
        <v>1.32</v>
      </c>
    </row>
    <row r="42" spans="1:45">
      <c r="A42" s="38">
        <v>41</v>
      </c>
      <c r="B42" s="38" t="s">
        <v>83</v>
      </c>
      <c r="C42" s="38" t="s">
        <v>265</v>
      </c>
      <c r="F42" s="38">
        <v>263</v>
      </c>
      <c r="H42" s="38">
        <v>2628.8</v>
      </c>
      <c r="K42" s="38">
        <v>-296.81</v>
      </c>
      <c r="M42" s="38">
        <v>-300.13</v>
      </c>
      <c r="T42" s="38">
        <v>201</v>
      </c>
      <c r="AB42" s="38">
        <v>655.57</v>
      </c>
      <c r="AD42" s="38">
        <v>8.4338999999999994E-3</v>
      </c>
      <c r="AL42" s="38">
        <v>1.1796E-5</v>
      </c>
      <c r="AS42" s="38">
        <v>1.26</v>
      </c>
    </row>
    <row r="43" spans="1:45">
      <c r="A43" s="38">
        <v>42</v>
      </c>
      <c r="B43" s="38" t="s">
        <v>84</v>
      </c>
      <c r="C43" s="38" t="s">
        <v>265</v>
      </c>
      <c r="F43" s="38">
        <v>629.88</v>
      </c>
      <c r="G43" s="38">
        <v>28.5</v>
      </c>
      <c r="H43" s="38">
        <v>15534</v>
      </c>
      <c r="K43" s="38">
        <v>61.38</v>
      </c>
      <c r="M43" s="38">
        <v>0</v>
      </c>
      <c r="T43" s="38">
        <v>234.321</v>
      </c>
      <c r="Y43" s="38">
        <v>9.6099999999999999E-7</v>
      </c>
      <c r="AB43" s="38">
        <v>139.5</v>
      </c>
      <c r="AD43" s="38">
        <v>8.3000000000000007</v>
      </c>
      <c r="AE43" s="38">
        <v>6.0399999999999998E-5</v>
      </c>
      <c r="AL43" s="38">
        <v>1.5E-3</v>
      </c>
      <c r="AO43" s="38">
        <v>200.6</v>
      </c>
      <c r="AQ43" s="346"/>
    </row>
    <row r="44" spans="1:45">
      <c r="A44" s="38">
        <v>43</v>
      </c>
      <c r="B44" s="38" t="s">
        <v>85</v>
      </c>
      <c r="C44" s="38" t="s">
        <v>266</v>
      </c>
      <c r="F44" s="38">
        <v>2743</v>
      </c>
      <c r="H44" s="38">
        <v>2700</v>
      </c>
      <c r="I44" s="38">
        <v>2375</v>
      </c>
      <c r="S44" s="38">
        <v>1.2700000000000001E-3</v>
      </c>
      <c r="T44" s="38">
        <v>933.47</v>
      </c>
      <c r="V44" s="38">
        <v>1.000022</v>
      </c>
      <c r="Y44" s="38">
        <v>2.81E-8</v>
      </c>
      <c r="Z44" s="38">
        <v>0.3</v>
      </c>
      <c r="AA44" s="38">
        <v>25.5</v>
      </c>
      <c r="AB44" s="38">
        <v>900</v>
      </c>
      <c r="AD44" s="38">
        <v>237</v>
      </c>
      <c r="AE44" s="38">
        <v>2.3099999999999999E-5</v>
      </c>
      <c r="AF44" s="38">
        <v>-1.5E-6</v>
      </c>
      <c r="AK44" s="38">
        <v>300</v>
      </c>
      <c r="AM44" s="38">
        <v>20</v>
      </c>
      <c r="AN44" s="38">
        <v>69</v>
      </c>
      <c r="AO44" s="38">
        <v>26.98</v>
      </c>
      <c r="AP44" s="38">
        <v>10710</v>
      </c>
      <c r="AQ44" s="38">
        <v>284000</v>
      </c>
      <c r="AR44" s="38">
        <v>7850</v>
      </c>
    </row>
    <row r="45" spans="1:45">
      <c r="A45" s="38">
        <v>44</v>
      </c>
      <c r="B45" s="38" t="s">
        <v>86</v>
      </c>
      <c r="C45" s="38" t="s">
        <v>266</v>
      </c>
      <c r="F45" s="38">
        <v>3134</v>
      </c>
      <c r="H45" s="38">
        <v>7874</v>
      </c>
      <c r="T45" s="38">
        <v>1811</v>
      </c>
      <c r="V45" s="38">
        <v>5000</v>
      </c>
      <c r="X45" s="38">
        <v>1.3</v>
      </c>
      <c r="Y45" s="38">
        <v>9.6099999999999994E-8</v>
      </c>
      <c r="Z45" s="38">
        <v>0.4</v>
      </c>
      <c r="AA45" s="38">
        <v>82</v>
      </c>
      <c r="AB45" s="38">
        <v>449.46</v>
      </c>
      <c r="AD45" s="38">
        <v>80.400000000000006</v>
      </c>
      <c r="AE45" s="38">
        <v>1.1800000000000001E-5</v>
      </c>
      <c r="AF45" s="38">
        <v>1.0200000000000001E-5</v>
      </c>
      <c r="AH45" s="38">
        <v>2.2200000000000002</v>
      </c>
      <c r="AK45" s="38">
        <v>540</v>
      </c>
      <c r="AM45" s="38">
        <v>50</v>
      </c>
      <c r="AN45" s="38">
        <v>211</v>
      </c>
      <c r="AO45" s="38">
        <v>55.85</v>
      </c>
      <c r="AP45" s="38">
        <v>13810</v>
      </c>
      <c r="AQ45" s="38">
        <v>340000</v>
      </c>
    </row>
    <row r="46" spans="1:45">
      <c r="A46" s="38">
        <v>45</v>
      </c>
      <c r="B46" s="38" t="s">
        <v>87</v>
      </c>
      <c r="C46" s="38" t="s">
        <v>266</v>
      </c>
      <c r="F46" s="38">
        <v>2875</v>
      </c>
      <c r="H46" s="38">
        <v>7365</v>
      </c>
      <c r="T46" s="38">
        <v>505.08</v>
      </c>
      <c r="W46" s="38">
        <v>24</v>
      </c>
      <c r="Y46" s="38">
        <v>1.15E-7</v>
      </c>
      <c r="Z46" s="38">
        <v>0.2</v>
      </c>
      <c r="AA46" s="38">
        <v>18</v>
      </c>
      <c r="AB46" s="38">
        <v>228.39</v>
      </c>
      <c r="AD46" s="38">
        <v>66.8</v>
      </c>
      <c r="AE46" s="38">
        <v>2.1999999999999999E-5</v>
      </c>
      <c r="AK46" s="38">
        <v>220</v>
      </c>
      <c r="AM46" s="38">
        <v>90.3</v>
      </c>
      <c r="AN46" s="38">
        <v>44.3</v>
      </c>
      <c r="AO46" s="38">
        <v>118.7</v>
      </c>
      <c r="AP46" s="38">
        <v>7030</v>
      </c>
      <c r="AQ46" s="38">
        <v>296100</v>
      </c>
    </row>
    <row r="47" spans="1:45">
      <c r="A47" s="38">
        <v>46</v>
      </c>
      <c r="B47" s="38" t="s">
        <v>88</v>
      </c>
      <c r="C47" s="38" t="s">
        <v>266</v>
      </c>
      <c r="F47" s="38">
        <v>1615</v>
      </c>
      <c r="H47" s="38">
        <v>534</v>
      </c>
      <c r="T47" s="38">
        <v>453.69</v>
      </c>
      <c r="V47" s="38">
        <v>1.000014</v>
      </c>
      <c r="Y47" s="38">
        <v>92.8</v>
      </c>
      <c r="Z47" s="38">
        <v>0.8</v>
      </c>
      <c r="AA47" s="38">
        <v>4.2</v>
      </c>
      <c r="AB47" s="38">
        <v>3580</v>
      </c>
      <c r="AD47" s="38">
        <v>71.2</v>
      </c>
      <c r="AE47" s="38">
        <v>4.6E-5</v>
      </c>
      <c r="AK47" s="38">
        <v>15</v>
      </c>
      <c r="AM47" s="38">
        <v>0.52810000000000001</v>
      </c>
      <c r="AN47" s="38">
        <v>4.9000000000000004</v>
      </c>
      <c r="AO47" s="38">
        <v>6.968</v>
      </c>
      <c r="AP47" s="38">
        <v>3000</v>
      </c>
      <c r="AQ47" s="38">
        <v>136000</v>
      </c>
    </row>
    <row r="48" spans="1:45">
      <c r="A48" s="38">
        <v>47</v>
      </c>
      <c r="B48" s="38" t="s">
        <v>89</v>
      </c>
      <c r="C48" s="38" t="s">
        <v>266</v>
      </c>
      <c r="F48" s="38">
        <v>5282</v>
      </c>
      <c r="H48" s="38">
        <v>19250</v>
      </c>
      <c r="S48" s="38">
        <v>6.5000000000000002E-2</v>
      </c>
      <c r="T48" s="38">
        <v>3643</v>
      </c>
      <c r="V48" s="38">
        <v>7.8</v>
      </c>
      <c r="Y48" s="38">
        <v>5.2800000000000003E-8</v>
      </c>
      <c r="Z48" s="38">
        <v>0.1</v>
      </c>
      <c r="AA48" s="38">
        <v>161</v>
      </c>
      <c r="AB48" s="38">
        <v>134</v>
      </c>
      <c r="AD48" s="38">
        <v>173</v>
      </c>
      <c r="AE48" s="38">
        <v>4.5000000000000001E-6</v>
      </c>
      <c r="AF48" s="38">
        <v>2.5000000000000002E-6</v>
      </c>
      <c r="AK48" s="38">
        <v>1510</v>
      </c>
      <c r="AM48" s="38">
        <v>941</v>
      </c>
      <c r="AN48" s="38">
        <v>410</v>
      </c>
      <c r="AO48" s="38">
        <v>183.8</v>
      </c>
      <c r="AP48" s="38">
        <v>52310</v>
      </c>
      <c r="AQ48" s="38">
        <v>806700</v>
      </c>
    </row>
    <row r="49" spans="1:43">
      <c r="A49" s="38">
        <v>48</v>
      </c>
      <c r="B49" s="38" t="s">
        <v>90</v>
      </c>
      <c r="C49" s="38" t="s">
        <v>266</v>
      </c>
      <c r="F49" s="38">
        <v>3560</v>
      </c>
      <c r="H49" s="38">
        <v>4500</v>
      </c>
      <c r="T49" s="38">
        <v>1941</v>
      </c>
      <c r="Y49" s="38">
        <v>1.68E-6</v>
      </c>
      <c r="Z49" s="38">
        <v>0.25</v>
      </c>
      <c r="AA49" s="38">
        <v>41.4</v>
      </c>
      <c r="AB49" s="38">
        <v>525</v>
      </c>
      <c r="AD49" s="38">
        <v>21.9</v>
      </c>
      <c r="AE49" s="38">
        <v>8.6000000000000007E-6</v>
      </c>
      <c r="AK49" s="38">
        <v>1040</v>
      </c>
      <c r="AM49" s="38">
        <v>830</v>
      </c>
      <c r="AN49" s="38">
        <v>110.3</v>
      </c>
      <c r="AO49" s="38">
        <v>47.87</v>
      </c>
      <c r="AP49" s="38">
        <v>14150</v>
      </c>
      <c r="AQ49" s="38">
        <v>425000</v>
      </c>
    </row>
    <row r="50" spans="1:43">
      <c r="A50" s="38">
        <v>49</v>
      </c>
      <c r="B50" s="38" t="s">
        <v>91</v>
      </c>
      <c r="C50" s="38" t="s">
        <v>266</v>
      </c>
      <c r="F50" s="38">
        <v>2835</v>
      </c>
      <c r="H50" s="38">
        <v>8960</v>
      </c>
      <c r="S50" s="38">
        <v>1.0200000000000001E-2</v>
      </c>
      <c r="T50" s="38">
        <v>1357.77</v>
      </c>
      <c r="V50" s="38">
        <v>0.99994000000000005</v>
      </c>
      <c r="W50" s="38">
        <v>0.99999400000000005</v>
      </c>
      <c r="Y50" s="38">
        <v>1.6779999999999999E-8</v>
      </c>
      <c r="Z50" s="38">
        <v>0.3</v>
      </c>
      <c r="AA50" s="38">
        <v>44.7</v>
      </c>
      <c r="AB50" s="38">
        <v>385</v>
      </c>
      <c r="AD50" s="38">
        <v>368.7</v>
      </c>
      <c r="AE50" s="38">
        <v>1.6500000000000001E-5</v>
      </c>
      <c r="AF50" s="38">
        <v>1.5E-6</v>
      </c>
      <c r="AK50" s="38">
        <v>210</v>
      </c>
      <c r="AM50" s="38">
        <v>33.299999999999997</v>
      </c>
      <c r="AN50" s="38">
        <v>128</v>
      </c>
      <c r="AO50" s="38">
        <v>63.55</v>
      </c>
      <c r="AP50" s="38">
        <v>13260</v>
      </c>
      <c r="AQ50" s="284">
        <v>300400</v>
      </c>
    </row>
    <row r="51" spans="1:43">
      <c r="A51" s="38">
        <v>50</v>
      </c>
      <c r="B51" s="38" t="s">
        <v>92</v>
      </c>
      <c r="C51" s="38" t="s">
        <v>266</v>
      </c>
      <c r="F51" s="38">
        <v>2435</v>
      </c>
      <c r="H51" s="38">
        <v>10490</v>
      </c>
      <c r="S51" s="38">
        <v>4.4600000000000004E-3</v>
      </c>
      <c r="T51" s="38">
        <v>1234.94</v>
      </c>
      <c r="V51" s="38">
        <v>0.99999974999999997</v>
      </c>
      <c r="Y51" s="38">
        <v>1.5869999999999999E-8</v>
      </c>
      <c r="Z51" s="38">
        <v>0.3</v>
      </c>
      <c r="AA51" s="38">
        <v>30</v>
      </c>
      <c r="AB51" s="38">
        <v>234</v>
      </c>
      <c r="AD51" s="38">
        <v>430</v>
      </c>
      <c r="AE51" s="38">
        <v>1.8899999999999999E-5</v>
      </c>
      <c r="AF51" s="38">
        <v>1.5E-6</v>
      </c>
      <c r="AK51" s="38">
        <v>140</v>
      </c>
      <c r="AM51" s="38">
        <v>53</v>
      </c>
      <c r="AN51" s="38">
        <v>83</v>
      </c>
      <c r="AO51" s="38">
        <v>107.9</v>
      </c>
      <c r="AP51" s="38">
        <v>11280</v>
      </c>
      <c r="AQ51" s="38">
        <v>254000</v>
      </c>
    </row>
    <row r="52" spans="1:43">
      <c r="A52" s="38">
        <v>51</v>
      </c>
      <c r="B52" s="38" t="s">
        <v>93</v>
      </c>
      <c r="C52" s="38" t="s">
        <v>266</v>
      </c>
      <c r="F52" s="38">
        <v>3243</v>
      </c>
      <c r="H52" s="38">
        <v>19300</v>
      </c>
      <c r="S52" s="38">
        <v>2.0400000000000001E-3</v>
      </c>
      <c r="T52" s="38">
        <v>1337.33</v>
      </c>
      <c r="V52" s="38">
        <v>0.99999981000000004</v>
      </c>
      <c r="Y52" s="38">
        <v>2.241E-8</v>
      </c>
      <c r="Z52" s="38">
        <v>0.3</v>
      </c>
      <c r="AA52" s="38">
        <v>27</v>
      </c>
      <c r="AB52" s="38">
        <v>128</v>
      </c>
      <c r="AD52" s="38">
        <v>320</v>
      </c>
      <c r="AE52" s="38">
        <v>1.42E-5</v>
      </c>
      <c r="AF52" s="38">
        <v>1.5E-6</v>
      </c>
      <c r="AK52" s="38">
        <v>120</v>
      </c>
      <c r="AM52" s="38">
        <v>209</v>
      </c>
      <c r="AN52" s="38">
        <v>79</v>
      </c>
      <c r="AO52" s="38">
        <v>197</v>
      </c>
      <c r="AP52" s="38">
        <v>12550</v>
      </c>
      <c r="AQ52" s="38">
        <v>342000</v>
      </c>
    </row>
    <row r="53" spans="1:43">
      <c r="A53" s="38">
        <v>52</v>
      </c>
      <c r="B53" s="38" t="s">
        <v>94</v>
      </c>
      <c r="C53" s="38" t="s">
        <v>266</v>
      </c>
      <c r="F53" s="38">
        <v>4098</v>
      </c>
      <c r="H53" s="38">
        <v>21450</v>
      </c>
      <c r="T53" s="38">
        <v>2041.4</v>
      </c>
      <c r="V53" s="38">
        <v>1.000265</v>
      </c>
      <c r="Y53" s="38">
        <v>1.05E-7</v>
      </c>
      <c r="Z53" s="38">
        <v>0.1</v>
      </c>
      <c r="AA53" s="38">
        <v>61</v>
      </c>
      <c r="AB53" s="38">
        <v>132.55799999999999</v>
      </c>
      <c r="AD53" s="38">
        <v>71.599999999999994</v>
      </c>
      <c r="AE53" s="38">
        <v>8.8000000000000004E-6</v>
      </c>
      <c r="AF53" s="38">
        <v>-5.0000000000000004E-6</v>
      </c>
      <c r="AK53" s="38">
        <v>240</v>
      </c>
      <c r="AM53" s="38">
        <v>185</v>
      </c>
      <c r="AN53" s="38">
        <v>168</v>
      </c>
      <c r="AO53" s="38">
        <v>195.1</v>
      </c>
      <c r="AP53" s="38">
        <v>22170</v>
      </c>
      <c r="AQ53" s="38">
        <v>510000</v>
      </c>
    </row>
    <row r="54" spans="1:43">
      <c r="A54" s="38">
        <v>53</v>
      </c>
      <c r="B54" s="38" t="s">
        <v>95</v>
      </c>
      <c r="C54" s="38" t="s">
        <v>266</v>
      </c>
      <c r="F54" s="38">
        <v>3003</v>
      </c>
      <c r="H54" s="38">
        <v>8908</v>
      </c>
      <c r="T54" s="38">
        <v>1728</v>
      </c>
      <c r="V54" s="38">
        <v>600</v>
      </c>
      <c r="X54" s="38">
        <v>0.4</v>
      </c>
      <c r="Y54" s="38">
        <v>6.9300000000000005E-8</v>
      </c>
      <c r="Z54" s="38">
        <v>0.3</v>
      </c>
      <c r="AA54" s="38">
        <v>76</v>
      </c>
      <c r="AB54" s="38">
        <v>444.173</v>
      </c>
      <c r="AD54" s="38">
        <v>90.9</v>
      </c>
      <c r="AE54" s="38">
        <v>1.34E-5</v>
      </c>
      <c r="AF54" s="38">
        <v>-2.0000000000000002E-5</v>
      </c>
      <c r="AH54" s="38">
        <v>0.6</v>
      </c>
      <c r="AK54" s="38">
        <v>195</v>
      </c>
      <c r="AM54" s="38">
        <v>350</v>
      </c>
      <c r="AN54" s="38">
        <v>200</v>
      </c>
      <c r="AO54" s="38">
        <v>58.69</v>
      </c>
      <c r="AP54" s="38">
        <v>17480</v>
      </c>
      <c r="AQ54" s="38">
        <v>379000</v>
      </c>
    </row>
    <row r="55" spans="1:43">
      <c r="A55" s="38">
        <v>54</v>
      </c>
      <c r="B55" s="38" t="s">
        <v>96</v>
      </c>
      <c r="C55" s="38" t="s">
        <v>266</v>
      </c>
      <c r="F55" s="38">
        <v>3200</v>
      </c>
      <c r="H55" s="38">
        <v>8900</v>
      </c>
      <c r="T55" s="38">
        <v>1768</v>
      </c>
      <c r="V55" s="38">
        <v>250</v>
      </c>
      <c r="X55" s="38">
        <v>0.5</v>
      </c>
      <c r="Y55" s="38">
        <v>6.2400000000000003E-8</v>
      </c>
      <c r="Z55" s="38">
        <v>0.3</v>
      </c>
      <c r="AA55" s="38">
        <v>75</v>
      </c>
      <c r="AB55" s="38">
        <v>420.98500000000001</v>
      </c>
      <c r="AD55" s="38">
        <v>100</v>
      </c>
      <c r="AE55" s="38">
        <v>1.2999999999999999E-5</v>
      </c>
      <c r="AH55" s="38">
        <v>1.72</v>
      </c>
      <c r="AK55" s="38">
        <v>700</v>
      </c>
      <c r="AM55" s="38">
        <v>200</v>
      </c>
      <c r="AN55" s="38">
        <v>209</v>
      </c>
      <c r="AO55" s="38">
        <v>58.93</v>
      </c>
      <c r="AP55" s="38">
        <v>16060</v>
      </c>
      <c r="AQ55" s="38">
        <v>377000</v>
      </c>
    </row>
    <row r="56" spans="1:43">
      <c r="A56" s="38">
        <v>55</v>
      </c>
      <c r="B56" s="38" t="s">
        <v>0</v>
      </c>
      <c r="C56" s="38" t="s">
        <v>266</v>
      </c>
      <c r="F56" s="38">
        <v>2042</v>
      </c>
      <c r="H56" s="38">
        <v>11340</v>
      </c>
      <c r="T56" s="38">
        <v>600.5</v>
      </c>
      <c r="V56" s="38">
        <v>0.99998200000000004</v>
      </c>
      <c r="Y56" s="38">
        <v>2.2000000000000001E-7</v>
      </c>
      <c r="Z56" s="38">
        <v>0.4</v>
      </c>
      <c r="AA56" s="38">
        <v>13.1</v>
      </c>
      <c r="AB56" s="38">
        <v>128.69999999999999</v>
      </c>
      <c r="AD56" s="38">
        <v>35</v>
      </c>
      <c r="AE56" s="38">
        <v>2.8900000000000001E-5</v>
      </c>
      <c r="AF56" s="38">
        <v>-9.9999999999999995E-7</v>
      </c>
      <c r="AK56" s="38">
        <v>14</v>
      </c>
      <c r="AM56" s="38">
        <v>5.52</v>
      </c>
      <c r="AN56" s="38">
        <v>14.7</v>
      </c>
      <c r="AO56" s="38">
        <v>207.2</v>
      </c>
      <c r="AP56" s="38">
        <v>4770</v>
      </c>
      <c r="AQ56" s="38">
        <v>179500</v>
      </c>
    </row>
    <row r="57" spans="1:43">
      <c r="A57" s="38">
        <v>56</v>
      </c>
      <c r="B57" s="38" t="s">
        <v>97</v>
      </c>
      <c r="C57" s="38" t="s">
        <v>266</v>
      </c>
      <c r="F57" s="38">
        <v>5731</v>
      </c>
      <c r="H57" s="38">
        <v>16690</v>
      </c>
      <c r="T57" s="38">
        <v>3290</v>
      </c>
      <c r="Y57" s="38">
        <v>1.31E-7</v>
      </c>
      <c r="Z57" s="38">
        <v>0.5</v>
      </c>
      <c r="AA57" s="38">
        <v>69</v>
      </c>
      <c r="AB57" s="38">
        <v>140</v>
      </c>
      <c r="AD57" s="38">
        <v>54</v>
      </c>
      <c r="AE57" s="38">
        <v>6.2999999999999998E-6</v>
      </c>
      <c r="AF57" s="38">
        <v>-4.9999999999999998E-7</v>
      </c>
      <c r="AK57" s="38">
        <v>650</v>
      </c>
      <c r="AM57" s="38">
        <v>626</v>
      </c>
      <c r="AN57" s="38">
        <v>186</v>
      </c>
      <c r="AO57" s="38">
        <v>180.9</v>
      </c>
      <c r="AP57" s="38">
        <v>36570</v>
      </c>
      <c r="AQ57" s="38">
        <v>732800</v>
      </c>
    </row>
    <row r="58" spans="1:43">
      <c r="A58" s="38">
        <v>57</v>
      </c>
      <c r="B58" s="38" t="s">
        <v>98</v>
      </c>
      <c r="C58" s="38" t="s">
        <v>266</v>
      </c>
      <c r="F58" s="38">
        <v>1837</v>
      </c>
      <c r="H58" s="38">
        <v>9780</v>
      </c>
      <c r="T58" s="38">
        <v>544.70000000000005</v>
      </c>
      <c r="V58" s="38">
        <v>0.999834</v>
      </c>
      <c r="Y58" s="38">
        <v>1.2899999999999999E-6</v>
      </c>
      <c r="Z58" s="38">
        <v>0.5</v>
      </c>
      <c r="AA58" s="38">
        <v>12</v>
      </c>
      <c r="AB58" s="38">
        <v>122.14</v>
      </c>
      <c r="AD58" s="38">
        <v>7.97</v>
      </c>
      <c r="AE58" s="38">
        <v>1.34E-5</v>
      </c>
      <c r="AF58" s="38">
        <v>-7.7000000000000001E-5</v>
      </c>
      <c r="AK58" s="38">
        <v>206.8</v>
      </c>
      <c r="AM58" s="38">
        <v>96.53</v>
      </c>
      <c r="AN58" s="38">
        <v>32</v>
      </c>
      <c r="AO58" s="38">
        <v>209</v>
      </c>
      <c r="AP58" s="38">
        <v>11300</v>
      </c>
      <c r="AQ58" s="38">
        <v>179000</v>
      </c>
    </row>
    <row r="59" spans="1:43">
      <c r="A59" s="38">
        <v>58</v>
      </c>
      <c r="B59" s="38" t="s">
        <v>99</v>
      </c>
      <c r="C59" s="38" t="s">
        <v>266</v>
      </c>
      <c r="F59" s="38">
        <v>5869</v>
      </c>
      <c r="H59" s="38">
        <v>21020</v>
      </c>
      <c r="T59" s="38">
        <v>3459</v>
      </c>
      <c r="Y59" s="38">
        <v>1.9299999999999999E-7</v>
      </c>
      <c r="Z59" s="38">
        <v>0.3</v>
      </c>
      <c r="AA59" s="38">
        <v>178</v>
      </c>
      <c r="AB59" s="38">
        <v>136.84</v>
      </c>
      <c r="AD59" s="38">
        <v>48</v>
      </c>
      <c r="AE59" s="38">
        <v>6.1999999999999999E-6</v>
      </c>
      <c r="AK59" s="38">
        <v>1070</v>
      </c>
      <c r="AM59" s="38">
        <v>290</v>
      </c>
      <c r="AN59" s="38">
        <v>463</v>
      </c>
      <c r="AO59" s="38">
        <v>186.2</v>
      </c>
      <c r="AP59" s="38">
        <v>60430</v>
      </c>
      <c r="AQ59" s="38">
        <v>704000</v>
      </c>
    </row>
    <row r="60" spans="1:43">
      <c r="A60" s="38">
        <v>59</v>
      </c>
      <c r="B60" s="38" t="s">
        <v>100</v>
      </c>
      <c r="C60" s="38" t="s">
        <v>266</v>
      </c>
      <c r="F60" s="38">
        <v>1757</v>
      </c>
      <c r="H60" s="38">
        <v>1550</v>
      </c>
      <c r="T60" s="38">
        <v>1115</v>
      </c>
      <c r="Y60" s="38">
        <v>3.3600000000000003E-8</v>
      </c>
      <c r="Z60" s="38">
        <v>0.5</v>
      </c>
      <c r="AA60" s="38">
        <v>7.4</v>
      </c>
      <c r="AB60" s="38">
        <v>646.96</v>
      </c>
      <c r="AD60" s="38">
        <v>201</v>
      </c>
      <c r="AE60" s="38">
        <v>2.23E-5</v>
      </c>
      <c r="AK60" s="38">
        <v>130</v>
      </c>
      <c r="AM60" s="38">
        <v>121</v>
      </c>
      <c r="AN60" s="38">
        <v>20</v>
      </c>
      <c r="AO60" s="38">
        <v>40.08</v>
      </c>
      <c r="AP60" s="38">
        <v>8540</v>
      </c>
      <c r="AQ60" s="38">
        <v>154700</v>
      </c>
    </row>
    <row r="61" spans="1:43">
      <c r="A61" s="38">
        <v>60</v>
      </c>
      <c r="B61" s="38" t="s">
        <v>101</v>
      </c>
      <c r="C61" s="38" t="s">
        <v>266</v>
      </c>
      <c r="F61" s="38">
        <v>1180</v>
      </c>
      <c r="H61" s="38">
        <v>7140</v>
      </c>
      <c r="T61" s="38">
        <v>692.68</v>
      </c>
      <c r="Y61" s="38">
        <v>5.8999999999999999E-8</v>
      </c>
      <c r="Z61" s="38">
        <v>0.3</v>
      </c>
      <c r="AA61" s="38">
        <v>43</v>
      </c>
      <c r="AB61" s="38">
        <v>389.56900000000002</v>
      </c>
      <c r="AD61" s="38">
        <v>116</v>
      </c>
      <c r="AE61" s="38">
        <v>3.0199999999999999E-5</v>
      </c>
      <c r="AK61" s="38">
        <v>200</v>
      </c>
      <c r="AM61" s="38">
        <v>110</v>
      </c>
      <c r="AN61" s="38">
        <v>108</v>
      </c>
      <c r="AO61" s="38">
        <v>65.38</v>
      </c>
      <c r="AP61" s="38">
        <v>7320</v>
      </c>
      <c r="AQ61" s="38">
        <v>115300</v>
      </c>
    </row>
    <row r="62" spans="1:43">
      <c r="A62" s="38">
        <v>61</v>
      </c>
      <c r="B62" s="38" t="s">
        <v>102</v>
      </c>
      <c r="C62" s="38" t="s">
        <v>266</v>
      </c>
      <c r="F62" s="38">
        <v>3243</v>
      </c>
      <c r="H62" s="38">
        <v>1850</v>
      </c>
      <c r="T62" s="38">
        <v>1560</v>
      </c>
      <c r="Y62" s="38">
        <v>3.5999999999999998E-8</v>
      </c>
      <c r="Z62" s="38">
        <v>0.4</v>
      </c>
      <c r="AA62" s="38">
        <v>132</v>
      </c>
      <c r="AB62" s="38">
        <v>1824.53</v>
      </c>
      <c r="AD62" s="38">
        <v>200</v>
      </c>
      <c r="AE62" s="38">
        <v>1.13E-5</v>
      </c>
      <c r="AK62" s="38">
        <v>370</v>
      </c>
      <c r="AM62" s="38">
        <v>240</v>
      </c>
      <c r="AN62" s="38">
        <v>287</v>
      </c>
      <c r="AO62" s="38">
        <v>9.0120000000000005</v>
      </c>
      <c r="AP62" s="38">
        <v>7895</v>
      </c>
      <c r="AQ62" s="38">
        <v>292400</v>
      </c>
    </row>
    <row r="63" spans="1:43">
      <c r="A63" s="38">
        <v>62</v>
      </c>
      <c r="B63" s="38" t="s">
        <v>103</v>
      </c>
      <c r="C63" s="38" t="s">
        <v>266</v>
      </c>
      <c r="F63" s="38">
        <v>1363</v>
      </c>
      <c r="H63" s="38">
        <v>1738</v>
      </c>
      <c r="T63" s="38">
        <v>923</v>
      </c>
      <c r="V63" s="38">
        <v>0.99998799999999999</v>
      </c>
      <c r="Y63" s="38">
        <v>4.3900000000000003E-8</v>
      </c>
      <c r="Z63" s="38">
        <v>0.2</v>
      </c>
      <c r="AA63" s="38">
        <v>17</v>
      </c>
      <c r="AB63" s="38">
        <v>1023.21</v>
      </c>
      <c r="AD63" s="38">
        <v>156</v>
      </c>
      <c r="AE63" s="38">
        <v>2.48E-5</v>
      </c>
      <c r="AK63" s="38">
        <v>200</v>
      </c>
      <c r="AM63" s="38">
        <v>110</v>
      </c>
      <c r="AN63" s="38">
        <v>45</v>
      </c>
      <c r="AO63" s="38">
        <v>24.31</v>
      </c>
      <c r="AP63" s="38">
        <v>8480</v>
      </c>
      <c r="AQ63" s="38">
        <v>128000</v>
      </c>
    </row>
    <row r="64" spans="1:43">
      <c r="A64" s="38">
        <v>63</v>
      </c>
      <c r="B64" s="38" t="s">
        <v>104</v>
      </c>
      <c r="C64" s="38" t="s">
        <v>266</v>
      </c>
      <c r="F64" s="38">
        <v>5285</v>
      </c>
      <c r="H64" s="38">
        <v>22590</v>
      </c>
      <c r="T64" s="38">
        <v>3306</v>
      </c>
      <c r="Y64" s="38">
        <v>8.1199999999999999E-8</v>
      </c>
      <c r="Z64" s="38">
        <v>0.2</v>
      </c>
      <c r="AA64" s="38">
        <v>230</v>
      </c>
      <c r="AB64" s="38">
        <v>135</v>
      </c>
      <c r="AD64" s="38">
        <v>87.5</v>
      </c>
      <c r="AE64" s="38">
        <v>6.4999999999999996E-6</v>
      </c>
      <c r="AK64" s="38">
        <v>7200</v>
      </c>
      <c r="AM64" s="38">
        <v>2000</v>
      </c>
      <c r="AN64" s="38">
        <v>570</v>
      </c>
      <c r="AO64" s="38">
        <v>190.2</v>
      </c>
      <c r="AP64" s="38">
        <v>57850</v>
      </c>
      <c r="AQ64" s="38">
        <v>678000</v>
      </c>
    </row>
    <row r="65" spans="1:43">
      <c r="A65" s="38">
        <v>64</v>
      </c>
      <c r="B65" s="38" t="s">
        <v>105</v>
      </c>
      <c r="C65" s="38" t="s">
        <v>266</v>
      </c>
      <c r="F65" s="38">
        <v>4403</v>
      </c>
      <c r="H65" s="38">
        <v>22560</v>
      </c>
      <c r="T65" s="38">
        <v>2719</v>
      </c>
      <c r="Y65" s="38">
        <v>4.7099999999999998E-8</v>
      </c>
      <c r="Z65" s="38">
        <v>0.1</v>
      </c>
      <c r="AA65" s="38">
        <v>210</v>
      </c>
      <c r="AB65" s="38">
        <v>130.58000000000001</v>
      </c>
      <c r="AD65" s="38">
        <v>147</v>
      </c>
      <c r="AE65" s="38">
        <v>6.3999999999999997E-6</v>
      </c>
      <c r="AK65" s="38">
        <v>623</v>
      </c>
      <c r="AM65" s="38">
        <v>234</v>
      </c>
      <c r="AN65" s="38">
        <v>528</v>
      </c>
      <c r="AO65" s="38">
        <v>192.2</v>
      </c>
      <c r="AP65" s="38">
        <v>41120</v>
      </c>
      <c r="AQ65" s="38">
        <v>564000</v>
      </c>
    </row>
    <row r="66" spans="1:43">
      <c r="A66" s="38">
        <v>65</v>
      </c>
      <c r="B66" s="38" t="s">
        <v>106</v>
      </c>
      <c r="C66" s="38" t="s">
        <v>266</v>
      </c>
      <c r="F66" s="38">
        <v>1156.0899999999999</v>
      </c>
      <c r="H66" s="38">
        <v>968</v>
      </c>
      <c r="T66" s="38">
        <v>370.94400000000002</v>
      </c>
      <c r="Y66" s="38">
        <v>4.7699999999999997E-8</v>
      </c>
      <c r="Z66" s="38">
        <v>0.7</v>
      </c>
      <c r="AA66" s="38">
        <v>3.3</v>
      </c>
      <c r="AB66" s="38">
        <v>1227.94</v>
      </c>
      <c r="AD66" s="38">
        <v>142</v>
      </c>
      <c r="AE66" s="38">
        <v>7.1000000000000005E-5</v>
      </c>
      <c r="AF66" s="38">
        <v>-6.9999999999999999E-6</v>
      </c>
      <c r="AK66" s="38">
        <v>10</v>
      </c>
      <c r="AL66" s="38">
        <v>2.8600000000000001E-4</v>
      </c>
      <c r="AM66" s="38">
        <v>9.5</v>
      </c>
      <c r="AN66" s="38">
        <v>9.89</v>
      </c>
      <c r="AO66" s="38">
        <v>22.99</v>
      </c>
      <c r="AP66" s="38">
        <v>2598</v>
      </c>
      <c r="AQ66" s="38">
        <v>97420</v>
      </c>
    </row>
    <row r="67" spans="1:43">
      <c r="A67" s="38">
        <v>66</v>
      </c>
      <c r="B67" s="38" t="s">
        <v>107</v>
      </c>
      <c r="C67" s="38" t="s">
        <v>266</v>
      </c>
      <c r="F67" s="38">
        <v>1032</v>
      </c>
      <c r="H67" s="38">
        <v>862</v>
      </c>
      <c r="T67" s="38">
        <v>336.7</v>
      </c>
      <c r="Y67" s="38">
        <v>7.1999999999999996E-8</v>
      </c>
      <c r="Z67" s="38">
        <v>0.7</v>
      </c>
      <c r="AA67" s="38">
        <v>1.3</v>
      </c>
      <c r="AB67" s="38">
        <v>757</v>
      </c>
      <c r="AD67" s="38">
        <v>100</v>
      </c>
      <c r="AE67" s="38">
        <v>8.3300000000000005E-5</v>
      </c>
      <c r="AF67" s="38">
        <v>-1.4E-5</v>
      </c>
      <c r="AN67" s="38">
        <v>3.53</v>
      </c>
      <c r="AO67" s="38">
        <v>39.1</v>
      </c>
      <c r="AP67" s="38">
        <v>2321</v>
      </c>
      <c r="AQ67" s="38">
        <v>79870</v>
      </c>
    </row>
    <row r="68" spans="1:43">
      <c r="A68" s="38">
        <v>67</v>
      </c>
      <c r="B68" s="38" t="s">
        <v>108</v>
      </c>
      <c r="C68" s="38" t="s">
        <v>266</v>
      </c>
      <c r="F68" s="38">
        <v>1040</v>
      </c>
      <c r="H68" s="38">
        <v>8650</v>
      </c>
      <c r="T68" s="38">
        <v>594.22</v>
      </c>
      <c r="Y68" s="38" t="s">
        <v>109</v>
      </c>
      <c r="Z68" s="38">
        <v>0.5</v>
      </c>
      <c r="AA68" s="38">
        <v>19</v>
      </c>
      <c r="AB68" s="38">
        <v>231.465</v>
      </c>
      <c r="AD68" s="38">
        <v>96.6</v>
      </c>
      <c r="AE68" s="38">
        <v>3.0800000000000003E-5</v>
      </c>
      <c r="AF68" s="38">
        <v>2.5000000000000002E-6</v>
      </c>
      <c r="AK68" s="38">
        <v>78</v>
      </c>
      <c r="AM68" s="38">
        <v>64</v>
      </c>
      <c r="AN68" s="38">
        <v>50</v>
      </c>
      <c r="AO68" s="38">
        <v>112.4</v>
      </c>
      <c r="AP68" s="38">
        <v>6210</v>
      </c>
      <c r="AQ68" s="38">
        <v>99780</v>
      </c>
    </row>
    <row r="69" spans="1:43">
      <c r="A69" s="38">
        <v>68</v>
      </c>
      <c r="B69" s="38" t="s">
        <v>110</v>
      </c>
      <c r="C69" s="38" t="s">
        <v>266</v>
      </c>
      <c r="E69" s="38">
        <v>4.2</v>
      </c>
      <c r="F69" s="38">
        <v>4912</v>
      </c>
      <c r="H69" s="38">
        <v>10280</v>
      </c>
      <c r="S69" s="38">
        <v>3.1E-2</v>
      </c>
      <c r="T69" s="38">
        <v>2896</v>
      </c>
      <c r="Y69" s="38">
        <v>5.3400000000000002E-8</v>
      </c>
      <c r="Z69" s="38">
        <v>0.6</v>
      </c>
      <c r="AA69" s="38">
        <v>126</v>
      </c>
      <c r="AB69" s="38">
        <v>250.77</v>
      </c>
      <c r="AD69" s="38">
        <v>138</v>
      </c>
      <c r="AE69" s="38">
        <v>4.7999999999999998E-6</v>
      </c>
      <c r="AF69" s="38">
        <v>5.0000000000000004E-6</v>
      </c>
      <c r="AK69" s="38">
        <v>690</v>
      </c>
      <c r="AM69" s="38">
        <v>550</v>
      </c>
      <c r="AN69" s="38">
        <v>329</v>
      </c>
      <c r="AO69" s="38">
        <v>95.95</v>
      </c>
      <c r="AP69" s="38">
        <v>37480</v>
      </c>
      <c r="AQ69" s="38">
        <v>617000</v>
      </c>
    </row>
    <row r="70" spans="1:43">
      <c r="A70" s="38">
        <v>69</v>
      </c>
      <c r="B70" s="38" t="s">
        <v>111</v>
      </c>
      <c r="C70" s="38" t="s">
        <v>273</v>
      </c>
      <c r="H70" s="38">
        <v>3210</v>
      </c>
      <c r="T70" s="38">
        <v>3003</v>
      </c>
      <c r="Y70" s="38">
        <v>10000000000</v>
      </c>
      <c r="Z70" s="38">
        <v>0.4</v>
      </c>
      <c r="AA70" s="38">
        <v>179</v>
      </c>
      <c r="AB70" s="38">
        <v>1420</v>
      </c>
      <c r="AD70" s="38">
        <v>350</v>
      </c>
      <c r="AE70" s="38">
        <v>3.7000000000000002E-6</v>
      </c>
      <c r="AK70" s="38">
        <v>137.9</v>
      </c>
      <c r="AM70" s="38">
        <v>137.9</v>
      </c>
      <c r="AN70" s="38">
        <v>410.47</v>
      </c>
    </row>
    <row r="71" spans="1:43">
      <c r="A71" s="38">
        <v>70</v>
      </c>
      <c r="B71" s="38" t="s">
        <v>112</v>
      </c>
      <c r="C71" s="38" t="s">
        <v>273</v>
      </c>
      <c r="H71" s="38">
        <v>3200</v>
      </c>
      <c r="J71" s="38">
        <v>20</v>
      </c>
      <c r="T71" s="38">
        <v>2769</v>
      </c>
      <c r="W71" s="38">
        <v>10.5</v>
      </c>
      <c r="Y71" s="38">
        <v>10000000000000</v>
      </c>
      <c r="Z71" s="38">
        <v>0.2</v>
      </c>
      <c r="AA71" s="38">
        <v>127</v>
      </c>
      <c r="AB71" s="38">
        <v>1100</v>
      </c>
      <c r="AD71" s="38">
        <v>43</v>
      </c>
      <c r="AE71" s="38">
        <v>3.7000000000000002E-6</v>
      </c>
      <c r="AK71" s="38">
        <v>525</v>
      </c>
      <c r="AM71" s="38">
        <v>524</v>
      </c>
      <c r="AN71" s="38">
        <v>297</v>
      </c>
    </row>
    <row r="72" spans="1:43">
      <c r="A72" s="38">
        <v>71</v>
      </c>
      <c r="B72" s="38" t="s">
        <v>113</v>
      </c>
      <c r="C72" s="38" t="s">
        <v>273</v>
      </c>
      <c r="F72" s="38">
        <v>2500</v>
      </c>
      <c r="H72" s="38">
        <v>2648</v>
      </c>
      <c r="J72" s="38">
        <v>40</v>
      </c>
      <c r="K72" s="38">
        <v>-911</v>
      </c>
      <c r="T72" s="38">
        <v>1998</v>
      </c>
      <c r="W72" s="38">
        <v>4.2</v>
      </c>
      <c r="Y72" s="38">
        <v>1000000000000</v>
      </c>
      <c r="Z72" s="38">
        <v>0.8</v>
      </c>
      <c r="AA72" s="38">
        <v>32.299999999999997</v>
      </c>
      <c r="AB72" s="38">
        <v>730</v>
      </c>
      <c r="AD72" s="38">
        <v>1.5</v>
      </c>
      <c r="AE72" s="38">
        <v>7.5000000000000002E-7</v>
      </c>
      <c r="AK72" s="38">
        <v>155</v>
      </c>
      <c r="AM72" s="38">
        <v>110</v>
      </c>
      <c r="AN72" s="38">
        <v>74.8</v>
      </c>
    </row>
    <row r="73" spans="1:43">
      <c r="A73" s="38">
        <v>72</v>
      </c>
      <c r="B73" s="38" t="s">
        <v>114</v>
      </c>
      <c r="C73" s="38" t="s">
        <v>273</v>
      </c>
      <c r="H73" s="38">
        <v>4230</v>
      </c>
      <c r="J73" s="38">
        <v>12</v>
      </c>
      <c r="K73" s="38">
        <v>-945</v>
      </c>
      <c r="S73" s="38">
        <v>129</v>
      </c>
      <c r="T73" s="38">
        <v>2123</v>
      </c>
      <c r="W73" s="38">
        <v>85</v>
      </c>
      <c r="Y73" s="38">
        <v>1E+16</v>
      </c>
      <c r="Z73" s="38">
        <v>0.8</v>
      </c>
      <c r="AA73" s="38">
        <v>112.5</v>
      </c>
      <c r="AB73" s="38">
        <v>697</v>
      </c>
      <c r="AD73" s="38">
        <v>11.8</v>
      </c>
      <c r="AE73" s="38" t="s">
        <v>115</v>
      </c>
      <c r="AK73" s="38">
        <v>367.5</v>
      </c>
      <c r="AM73" s="38">
        <v>248.2</v>
      </c>
      <c r="AN73" s="38">
        <v>288</v>
      </c>
    </row>
    <row r="74" spans="1:43">
      <c r="A74" s="38">
        <v>73</v>
      </c>
      <c r="B74" s="38" t="s">
        <v>116</v>
      </c>
      <c r="C74" s="38" t="s">
        <v>273</v>
      </c>
      <c r="F74" s="38">
        <v>5093</v>
      </c>
      <c r="H74" s="38">
        <v>4930</v>
      </c>
      <c r="T74" s="38">
        <v>3433</v>
      </c>
      <c r="Y74" s="38">
        <v>2.5000000000000002E-6</v>
      </c>
      <c r="Z74" s="38">
        <v>0.3</v>
      </c>
      <c r="AA74" s="38">
        <v>193</v>
      </c>
      <c r="AB74" s="38">
        <v>873</v>
      </c>
      <c r="AD74" s="38">
        <v>330</v>
      </c>
      <c r="AE74" s="38">
        <v>7.4000000000000003E-6</v>
      </c>
      <c r="AK74" s="38">
        <v>258</v>
      </c>
      <c r="AM74" s="38">
        <v>118.6</v>
      </c>
      <c r="AN74" s="38">
        <v>451</v>
      </c>
    </row>
    <row r="75" spans="1:43">
      <c r="A75" s="38">
        <v>74</v>
      </c>
      <c r="B75" s="38" t="s">
        <v>117</v>
      </c>
      <c r="C75" s="38" t="s">
        <v>273</v>
      </c>
      <c r="H75" s="38">
        <v>5220</v>
      </c>
      <c r="T75" s="38">
        <v>3200</v>
      </c>
      <c r="Y75" s="38">
        <v>2.4999999999999999E-7</v>
      </c>
      <c r="Z75" s="38">
        <v>0.3</v>
      </c>
      <c r="AA75" s="38">
        <v>240</v>
      </c>
      <c r="AB75" s="38">
        <v>748.9</v>
      </c>
      <c r="AD75" s="38">
        <v>19.2</v>
      </c>
      <c r="AE75" s="38">
        <v>7.4000000000000003E-6</v>
      </c>
      <c r="AK75" s="38">
        <v>200</v>
      </c>
      <c r="AM75" s="38">
        <v>100</v>
      </c>
      <c r="AN75" s="38">
        <v>251</v>
      </c>
    </row>
    <row r="76" spans="1:43">
      <c r="A76" s="38">
        <v>75</v>
      </c>
      <c r="B76" s="38" t="s">
        <v>118</v>
      </c>
      <c r="C76" s="38" t="s">
        <v>273</v>
      </c>
      <c r="H76" s="38">
        <v>4520</v>
      </c>
      <c r="T76" s="38">
        <v>3500</v>
      </c>
      <c r="Y76" s="38">
        <v>9.9999999999999995E-8</v>
      </c>
      <c r="Z76" s="38">
        <v>0.5</v>
      </c>
      <c r="AA76" s="38">
        <v>255</v>
      </c>
      <c r="AB76" s="38">
        <v>962</v>
      </c>
      <c r="AD76" s="38">
        <v>120</v>
      </c>
      <c r="AE76" s="38">
        <v>9.2E-6</v>
      </c>
      <c r="AK76" s="38">
        <v>275</v>
      </c>
      <c r="AM76" s="38">
        <v>275</v>
      </c>
      <c r="AN76" s="38">
        <v>575</v>
      </c>
    </row>
    <row r="77" spans="1:43">
      <c r="A77" s="38">
        <v>76</v>
      </c>
      <c r="B77" s="38" t="s">
        <v>119</v>
      </c>
      <c r="C77" s="38" t="s">
        <v>273</v>
      </c>
      <c r="F77" s="38">
        <v>6270</v>
      </c>
      <c r="H77" s="38">
        <v>15630</v>
      </c>
      <c r="T77" s="38">
        <v>3103</v>
      </c>
      <c r="Y77" s="38">
        <v>9.9999999999999995E-7</v>
      </c>
      <c r="Z77" s="38">
        <v>0.6</v>
      </c>
      <c r="AA77" s="38">
        <v>283</v>
      </c>
      <c r="AB77" s="38">
        <v>292</v>
      </c>
      <c r="AD77" s="38">
        <v>84.02</v>
      </c>
      <c r="AE77" s="38">
        <v>7.0999999999999998E-6</v>
      </c>
      <c r="AK77" s="38">
        <v>530</v>
      </c>
      <c r="AM77" s="38">
        <v>530</v>
      </c>
      <c r="AN77" s="38">
        <v>686</v>
      </c>
    </row>
    <row r="78" spans="1:43">
      <c r="A78" s="38">
        <v>77</v>
      </c>
      <c r="B78" s="38" t="s">
        <v>30</v>
      </c>
      <c r="C78" s="38" t="s">
        <v>273</v>
      </c>
      <c r="E78" s="38">
        <v>9.9</v>
      </c>
      <c r="F78" s="38">
        <v>3250</v>
      </c>
      <c r="H78" s="38">
        <v>3980</v>
      </c>
      <c r="J78" s="38">
        <v>43</v>
      </c>
      <c r="K78" s="38">
        <v>-1675.7</v>
      </c>
      <c r="T78" s="38">
        <v>2369</v>
      </c>
      <c r="W78" s="38">
        <v>11.1</v>
      </c>
      <c r="Y78" s="38">
        <v>1E+16</v>
      </c>
      <c r="Z78" s="38">
        <v>0.7</v>
      </c>
      <c r="AA78" s="38">
        <v>165</v>
      </c>
      <c r="AB78" s="38">
        <v>955</v>
      </c>
      <c r="AD78" s="38">
        <v>38.5</v>
      </c>
      <c r="AE78" s="38">
        <v>1.0900000000000001E-5</v>
      </c>
      <c r="AK78" s="38">
        <v>665</v>
      </c>
      <c r="AM78" s="38">
        <v>200</v>
      </c>
      <c r="AN78" s="38">
        <v>413</v>
      </c>
    </row>
    <row r="79" spans="1:43">
      <c r="A79" s="38">
        <v>78</v>
      </c>
      <c r="B79" s="38" t="s">
        <v>120</v>
      </c>
      <c r="C79" s="38" t="s">
        <v>273</v>
      </c>
      <c r="E79" s="38">
        <v>6.0149999999999997</v>
      </c>
      <c r="F79" s="38">
        <v>2790</v>
      </c>
      <c r="H79" s="38">
        <v>3260</v>
      </c>
      <c r="J79" s="38">
        <v>16.73</v>
      </c>
      <c r="T79" s="38">
        <v>2470</v>
      </c>
      <c r="W79" s="38">
        <v>9.3000000000000007</v>
      </c>
      <c r="Y79" s="38">
        <v>10000000000000</v>
      </c>
      <c r="Z79" s="38">
        <v>0.7</v>
      </c>
      <c r="AA79" s="38">
        <v>139</v>
      </c>
      <c r="AB79" s="38">
        <v>740</v>
      </c>
      <c r="AD79" s="38">
        <v>285</v>
      </c>
      <c r="AE79" s="38">
        <v>4.5000000000000001E-6</v>
      </c>
      <c r="AK79" s="38">
        <v>390</v>
      </c>
      <c r="AM79" s="38">
        <v>390</v>
      </c>
      <c r="AN79" s="38">
        <v>330</v>
      </c>
    </row>
    <row r="80" spans="1:43">
      <c r="A80" s="38">
        <v>79</v>
      </c>
      <c r="B80" s="38" t="s">
        <v>121</v>
      </c>
      <c r="C80" s="38" t="s">
        <v>273</v>
      </c>
      <c r="E80" s="38">
        <v>6.2</v>
      </c>
      <c r="F80" s="38">
        <v>2690</v>
      </c>
      <c r="H80" s="38">
        <v>3691</v>
      </c>
      <c r="J80" s="38">
        <v>550</v>
      </c>
      <c r="T80" s="38">
        <v>2423</v>
      </c>
      <c r="W80" s="38">
        <v>8.56</v>
      </c>
      <c r="Y80" s="38">
        <v>1000000000000</v>
      </c>
      <c r="Z80" s="38">
        <v>0.5</v>
      </c>
      <c r="AA80" s="38">
        <v>135</v>
      </c>
      <c r="AB80" s="38">
        <v>781</v>
      </c>
      <c r="AD80" s="38">
        <v>12.3</v>
      </c>
      <c r="AE80" s="38">
        <v>4.6999999999999999E-6</v>
      </c>
      <c r="AK80" s="38">
        <v>414</v>
      </c>
      <c r="AM80" s="38">
        <v>414</v>
      </c>
      <c r="AN80" s="38">
        <v>334</v>
      </c>
    </row>
    <row r="81" spans="1:46">
      <c r="A81" s="38">
        <v>80</v>
      </c>
      <c r="B81" s="38" t="s">
        <v>122</v>
      </c>
      <c r="C81" s="38" t="s">
        <v>273</v>
      </c>
      <c r="E81" s="38">
        <v>5.2</v>
      </c>
      <c r="H81" s="38">
        <v>2100</v>
      </c>
      <c r="J81" s="38">
        <v>94.49</v>
      </c>
      <c r="T81" s="38">
        <v>3246</v>
      </c>
      <c r="W81" s="38">
        <v>4.5999999999999996</v>
      </c>
      <c r="Y81" s="38">
        <v>1000000000000</v>
      </c>
      <c r="Z81" s="38">
        <v>0.3</v>
      </c>
      <c r="AA81" s="38">
        <v>41.3</v>
      </c>
      <c r="AB81" s="38">
        <v>793</v>
      </c>
      <c r="AD81" s="38">
        <v>600</v>
      </c>
      <c r="AE81" s="38">
        <v>7.9999999999999996E-6</v>
      </c>
      <c r="AK81" s="38">
        <v>55</v>
      </c>
      <c r="AM81" s="38">
        <v>41.3</v>
      </c>
      <c r="AN81" s="38">
        <v>103</v>
      </c>
    </row>
    <row r="82" spans="1:46">
      <c r="A82" s="38">
        <v>81</v>
      </c>
      <c r="B82" s="38" t="s">
        <v>31</v>
      </c>
      <c r="C82" s="38" t="s">
        <v>273</v>
      </c>
      <c r="F82" s="38">
        <v>3770</v>
      </c>
      <c r="H82" s="38">
        <v>2520</v>
      </c>
      <c r="J82" s="38">
        <v>10</v>
      </c>
      <c r="T82" s="38">
        <v>3036</v>
      </c>
      <c r="W82" s="38">
        <v>8</v>
      </c>
      <c r="Y82" s="38">
        <v>1.2699999999999999E-2</v>
      </c>
      <c r="Z82" s="38">
        <v>0.3</v>
      </c>
      <c r="AA82" s="38">
        <v>197</v>
      </c>
      <c r="AB82" s="38">
        <v>1288</v>
      </c>
      <c r="AD82" s="38">
        <v>42</v>
      </c>
      <c r="AE82" s="38">
        <v>3.1999999999999999E-6</v>
      </c>
      <c r="AK82" s="38">
        <v>569</v>
      </c>
      <c r="AM82" s="38">
        <v>350</v>
      </c>
      <c r="AN82" s="38">
        <v>460</v>
      </c>
    </row>
    <row r="83" spans="1:46">
      <c r="A83" s="38">
        <v>82</v>
      </c>
      <c r="B83" s="38" t="s">
        <v>123</v>
      </c>
      <c r="C83" s="38" t="s">
        <v>273</v>
      </c>
      <c r="F83" s="38">
        <v>4170</v>
      </c>
      <c r="H83" s="38">
        <v>3010</v>
      </c>
      <c r="J83" s="38">
        <v>12</v>
      </c>
      <c r="T83" s="38">
        <v>2780</v>
      </c>
      <c r="W83" s="38">
        <v>6.5</v>
      </c>
      <c r="Y83" s="38">
        <v>10.15</v>
      </c>
      <c r="Z83" s="38">
        <v>0.7</v>
      </c>
      <c r="AA83" s="38">
        <v>141</v>
      </c>
      <c r="AB83" s="38">
        <v>1019.59</v>
      </c>
      <c r="AD83" s="38">
        <v>330</v>
      </c>
      <c r="AE83" s="38">
        <v>1.0000000000000001E-5</v>
      </c>
      <c r="AK83" s="38">
        <v>140</v>
      </c>
      <c r="AM83" s="38">
        <v>50</v>
      </c>
      <c r="AN83" s="38">
        <v>345</v>
      </c>
    </row>
    <row r="84" spans="1:46">
      <c r="A84" s="38">
        <v>83</v>
      </c>
      <c r="B84" s="38" t="s">
        <v>124</v>
      </c>
      <c r="C84" s="38" t="s">
        <v>273</v>
      </c>
      <c r="H84" s="38">
        <v>1750</v>
      </c>
      <c r="O84" s="38" t="b">
        <v>1</v>
      </c>
      <c r="T84" s="38">
        <v>2273</v>
      </c>
      <c r="Y84" s="38">
        <v>1.9000000000000001E-5</v>
      </c>
      <c r="Z84" s="38">
        <v>0.4</v>
      </c>
      <c r="AA84" s="38">
        <v>36</v>
      </c>
      <c r="AB84" s="38">
        <v>760</v>
      </c>
      <c r="AD84" s="38">
        <v>40</v>
      </c>
      <c r="AE84" s="38">
        <v>3.9999999999999998E-6</v>
      </c>
      <c r="AK84" s="38">
        <v>700</v>
      </c>
      <c r="AM84" s="38">
        <v>700</v>
      </c>
      <c r="AN84" s="38">
        <v>95</v>
      </c>
    </row>
    <row r="85" spans="1:46">
      <c r="A85" s="38">
        <v>84</v>
      </c>
      <c r="B85" s="38" t="s">
        <v>125</v>
      </c>
      <c r="C85" s="38" t="s">
        <v>273</v>
      </c>
      <c r="H85" s="38">
        <v>14300</v>
      </c>
      <c r="K85" s="38">
        <v>-144.1</v>
      </c>
      <c r="T85" s="38">
        <v>4150</v>
      </c>
      <c r="Y85" s="38">
        <v>2.4999999999999999E-8</v>
      </c>
      <c r="Z85" s="38">
        <v>0.5</v>
      </c>
      <c r="AA85" s="38">
        <v>225.8</v>
      </c>
      <c r="AB85" s="38">
        <v>190.24600000000001</v>
      </c>
      <c r="AD85" s="38">
        <v>21</v>
      </c>
      <c r="AE85" s="38">
        <v>6.6000000000000003E-6</v>
      </c>
      <c r="AK85" s="38">
        <v>565</v>
      </c>
      <c r="AM85" s="38">
        <v>191</v>
      </c>
      <c r="AN85" s="38">
        <v>560</v>
      </c>
    </row>
    <row r="86" spans="1:46">
      <c r="A86" s="38">
        <v>85</v>
      </c>
      <c r="B86" s="38" t="s">
        <v>126</v>
      </c>
      <c r="C86" s="38" t="s">
        <v>273</v>
      </c>
      <c r="H86" s="38">
        <v>12700</v>
      </c>
      <c r="T86" s="38">
        <v>4160</v>
      </c>
      <c r="Y86" s="38">
        <v>4.4999999999999999E-8</v>
      </c>
      <c r="Z86" s="38">
        <v>0.5</v>
      </c>
      <c r="AA86" s="38">
        <v>216.1</v>
      </c>
      <c r="AB86" s="38">
        <v>200</v>
      </c>
      <c r="AD86" s="38">
        <v>22</v>
      </c>
      <c r="AE86" s="38" t="s">
        <v>127</v>
      </c>
      <c r="AK86" s="38">
        <v>689</v>
      </c>
      <c r="AM86" s="38">
        <v>586</v>
      </c>
      <c r="AN86" s="38">
        <v>510</v>
      </c>
    </row>
    <row r="87" spans="1:46">
      <c r="A87" s="38">
        <v>86</v>
      </c>
      <c r="B87" s="38" t="s">
        <v>128</v>
      </c>
      <c r="C87" s="38" t="s">
        <v>273</v>
      </c>
      <c r="H87" s="38">
        <v>14650</v>
      </c>
      <c r="T87" s="38">
        <v>4488</v>
      </c>
      <c r="Y87" s="38">
        <v>2.8999999999999998E-7</v>
      </c>
      <c r="Z87" s="38">
        <v>0.2</v>
      </c>
      <c r="AA87" s="38">
        <v>223.9</v>
      </c>
      <c r="AB87" s="38">
        <v>192</v>
      </c>
      <c r="AD87" s="38">
        <v>22</v>
      </c>
      <c r="AE87" s="38">
        <v>6.7599999999999997E-7</v>
      </c>
      <c r="AK87" s="38">
        <v>590</v>
      </c>
      <c r="AM87" s="38">
        <v>270</v>
      </c>
      <c r="AN87" s="38">
        <v>550</v>
      </c>
    </row>
    <row r="88" spans="1:46">
      <c r="A88" s="38">
        <v>87</v>
      </c>
      <c r="B88" s="38" t="s">
        <v>129</v>
      </c>
      <c r="C88" s="38" t="s">
        <v>273</v>
      </c>
      <c r="E88" s="38">
        <v>5.7</v>
      </c>
      <c r="F88" s="38">
        <v>5673</v>
      </c>
      <c r="H88" s="38">
        <v>9680</v>
      </c>
      <c r="J88" s="38">
        <v>1000</v>
      </c>
      <c r="T88" s="38">
        <v>3031</v>
      </c>
      <c r="W88" s="38">
        <v>25</v>
      </c>
      <c r="Y88" s="38">
        <v>1000000000</v>
      </c>
      <c r="Z88" s="38">
        <v>0.7</v>
      </c>
      <c r="AA88" s="38">
        <v>92</v>
      </c>
      <c r="AB88" s="38">
        <v>120</v>
      </c>
      <c r="AD88" s="38">
        <v>1.1000000000000001</v>
      </c>
      <c r="AE88" s="38">
        <v>6.0000000000000002E-6</v>
      </c>
      <c r="AK88" s="38">
        <v>520</v>
      </c>
      <c r="AM88" s="38">
        <v>520</v>
      </c>
      <c r="AN88" s="38">
        <v>57</v>
      </c>
    </row>
    <row r="89" spans="1:46">
      <c r="A89" s="38">
        <v>88</v>
      </c>
      <c r="B89" s="38" t="s">
        <v>130</v>
      </c>
      <c r="C89" s="38" t="s">
        <v>273</v>
      </c>
      <c r="E89" s="38">
        <v>3.3</v>
      </c>
      <c r="F89" s="38">
        <v>2248</v>
      </c>
      <c r="H89" s="38">
        <v>5606</v>
      </c>
      <c r="K89" s="38">
        <v>-348</v>
      </c>
      <c r="T89" s="38">
        <v>2248</v>
      </c>
      <c r="Y89" s="38">
        <v>3000</v>
      </c>
      <c r="Z89" s="38">
        <v>0.5</v>
      </c>
      <c r="AA89" s="38">
        <v>44</v>
      </c>
      <c r="AB89" s="38">
        <v>494.654</v>
      </c>
      <c r="AD89" s="38">
        <v>135</v>
      </c>
      <c r="AE89" s="38">
        <v>3.9999999999999998E-6</v>
      </c>
      <c r="AK89" s="38">
        <v>26</v>
      </c>
      <c r="AM89" s="38">
        <v>25</v>
      </c>
      <c r="AN89" s="38">
        <v>119</v>
      </c>
    </row>
    <row r="90" spans="1:46">
      <c r="A90" s="38">
        <v>89</v>
      </c>
      <c r="B90" s="38" t="s">
        <v>131</v>
      </c>
      <c r="C90" s="38" t="s">
        <v>273</v>
      </c>
      <c r="H90" s="38">
        <v>2100</v>
      </c>
      <c r="O90" s="38" t="b">
        <v>1</v>
      </c>
      <c r="T90" s="38">
        <v>1698</v>
      </c>
      <c r="Y90" s="38">
        <v>4.0000000000000001E-3</v>
      </c>
      <c r="Z90" s="38">
        <v>0.5</v>
      </c>
      <c r="AA90" s="38">
        <v>48</v>
      </c>
      <c r="AB90" s="38">
        <v>1200</v>
      </c>
      <c r="AD90" s="38">
        <v>15</v>
      </c>
      <c r="AE90" s="38">
        <v>1.3E-6</v>
      </c>
      <c r="AK90" s="38">
        <v>310</v>
      </c>
      <c r="AM90" s="38">
        <v>100</v>
      </c>
      <c r="AN90" s="38">
        <v>95</v>
      </c>
    </row>
    <row r="91" spans="1:46">
      <c r="A91" s="38">
        <v>90</v>
      </c>
      <c r="B91" s="38" t="s">
        <v>132</v>
      </c>
      <c r="C91" s="38" t="s">
        <v>267</v>
      </c>
      <c r="F91" s="38">
        <v>4111</v>
      </c>
      <c r="H91" s="38">
        <v>19100</v>
      </c>
      <c r="T91" s="38">
        <v>1405.3</v>
      </c>
      <c r="V91" s="38">
        <v>1.0004</v>
      </c>
      <c r="Y91" s="38">
        <v>2.8000000000000002E-7</v>
      </c>
      <c r="Z91" s="38">
        <v>0.3</v>
      </c>
      <c r="AA91" s="38">
        <v>111</v>
      </c>
      <c r="AB91" s="38">
        <v>117</v>
      </c>
      <c r="AD91" s="38">
        <v>27.5</v>
      </c>
      <c r="AE91" s="38">
        <v>1.3900000000000001E-5</v>
      </c>
      <c r="AK91" s="38">
        <v>1724</v>
      </c>
      <c r="AM91" s="38">
        <v>965</v>
      </c>
      <c r="AN91" s="38">
        <v>170</v>
      </c>
      <c r="AO91" s="38">
        <v>238.05</v>
      </c>
      <c r="AT91" s="35">
        <v>8</v>
      </c>
    </row>
    <row r="92" spans="1:46">
      <c r="A92" s="38">
        <v>91</v>
      </c>
      <c r="B92" s="38" t="s">
        <v>133</v>
      </c>
      <c r="C92" s="38" t="s">
        <v>267</v>
      </c>
      <c r="F92" s="38">
        <v>4111</v>
      </c>
      <c r="G92" s="38">
        <v>100</v>
      </c>
      <c r="H92" s="38">
        <v>19278</v>
      </c>
      <c r="T92" s="38">
        <v>1405.3</v>
      </c>
      <c r="V92" s="38">
        <v>1.0004</v>
      </c>
      <c r="Y92" s="38">
        <v>2.8000000000000002E-7</v>
      </c>
      <c r="Z92" s="38">
        <v>0.6</v>
      </c>
      <c r="AA92" s="38">
        <v>111</v>
      </c>
      <c r="AB92" s="38">
        <v>115</v>
      </c>
      <c r="AD92" s="38">
        <v>27.5</v>
      </c>
      <c r="AE92" s="38">
        <v>1.3900000000000001E-5</v>
      </c>
      <c r="AK92" s="38">
        <v>1724</v>
      </c>
      <c r="AM92" s="38">
        <v>965</v>
      </c>
      <c r="AN92" s="38">
        <v>170</v>
      </c>
      <c r="AO92" s="38">
        <v>235</v>
      </c>
      <c r="AT92" s="35">
        <v>6</v>
      </c>
    </row>
    <row r="93" spans="1:46">
      <c r="A93" s="38">
        <v>92</v>
      </c>
      <c r="B93" s="38" t="s">
        <v>134</v>
      </c>
      <c r="C93" s="38" t="s">
        <v>267</v>
      </c>
      <c r="E93" s="38">
        <v>1.4</v>
      </c>
      <c r="G93" s="38">
        <v>100</v>
      </c>
      <c r="H93" s="38">
        <v>10970</v>
      </c>
      <c r="K93" s="38">
        <v>-1084</v>
      </c>
      <c r="T93" s="38">
        <v>3140</v>
      </c>
      <c r="W93" s="38">
        <v>22</v>
      </c>
      <c r="Z93" s="38">
        <v>0.8</v>
      </c>
      <c r="AA93" s="38">
        <v>74.099999999999994</v>
      </c>
      <c r="AB93" s="38">
        <v>236.58</v>
      </c>
      <c r="AD93" s="38">
        <v>4.4000000000000004</v>
      </c>
      <c r="AE93" s="38">
        <v>1.0200000000000001E-5</v>
      </c>
      <c r="AF93" s="38">
        <v>7.5000000000000002E-4</v>
      </c>
      <c r="AK93" s="38">
        <v>176.5</v>
      </c>
      <c r="AM93" s="38">
        <v>147.1</v>
      </c>
      <c r="AN93" s="38">
        <v>192.9</v>
      </c>
      <c r="AO93" s="38">
        <v>270</v>
      </c>
      <c r="AT93" s="35">
        <v>6</v>
      </c>
    </row>
    <row r="94" spans="1:46">
      <c r="A94" s="38">
        <v>93</v>
      </c>
      <c r="B94" s="38" t="s">
        <v>135</v>
      </c>
      <c r="C94" s="38" t="s">
        <v>267</v>
      </c>
      <c r="E94" s="38">
        <v>1.4</v>
      </c>
      <c r="G94" s="38">
        <v>100</v>
      </c>
      <c r="H94" s="38">
        <v>10970</v>
      </c>
      <c r="K94" s="38">
        <v>-1084</v>
      </c>
      <c r="T94" s="38">
        <v>3140</v>
      </c>
      <c r="W94" s="38">
        <v>22</v>
      </c>
      <c r="Z94" s="38">
        <v>0.8</v>
      </c>
      <c r="AA94" s="38">
        <v>74.099999999999994</v>
      </c>
      <c r="AB94" s="38">
        <v>236.58</v>
      </c>
      <c r="AD94" s="38">
        <v>4.4000000000000004</v>
      </c>
      <c r="AE94" s="38">
        <v>1.0200000000000001E-5</v>
      </c>
      <c r="AF94" s="38">
        <v>7.5000000000000002E-4</v>
      </c>
      <c r="AK94" s="38">
        <v>176.5</v>
      </c>
      <c r="AM94" s="38">
        <v>147.1</v>
      </c>
      <c r="AN94" s="38">
        <v>192.9</v>
      </c>
      <c r="AO94" s="38">
        <v>270</v>
      </c>
      <c r="AT94" s="35">
        <v>4</v>
      </c>
    </row>
    <row r="95" spans="1:46">
      <c r="A95" s="38">
        <v>94</v>
      </c>
      <c r="B95" s="38" t="s">
        <v>136</v>
      </c>
      <c r="C95" s="38" t="s">
        <v>267</v>
      </c>
      <c r="E95" s="38">
        <v>1.4</v>
      </c>
      <c r="G95" s="38">
        <v>100</v>
      </c>
      <c r="H95" s="38">
        <v>10970</v>
      </c>
      <c r="K95" s="38">
        <v>-1084</v>
      </c>
      <c r="T95" s="38">
        <v>3140</v>
      </c>
      <c r="W95" s="38">
        <v>22</v>
      </c>
      <c r="Z95" s="38">
        <v>0.35</v>
      </c>
      <c r="AA95" s="38">
        <v>74.099999999999994</v>
      </c>
      <c r="AB95" s="38">
        <v>236.58</v>
      </c>
      <c r="AD95" s="38">
        <v>4.4000000000000004</v>
      </c>
      <c r="AE95" s="38">
        <v>1.0200000000000001E-5</v>
      </c>
      <c r="AF95" s="38">
        <v>7.5000000000000002E-4</v>
      </c>
      <c r="AK95" s="38">
        <v>176.5</v>
      </c>
      <c r="AM95" s="38">
        <v>147.1</v>
      </c>
      <c r="AN95" s="38">
        <v>192.9</v>
      </c>
      <c r="AO95" s="38">
        <v>270</v>
      </c>
      <c r="AT95" s="35">
        <v>8</v>
      </c>
    </row>
    <row r="96" spans="1:46">
      <c r="A96" s="38">
        <v>95</v>
      </c>
      <c r="B96" s="38" t="s">
        <v>137</v>
      </c>
      <c r="C96" s="38" t="s">
        <v>267</v>
      </c>
      <c r="F96" s="38">
        <v>4111</v>
      </c>
      <c r="G96" s="38">
        <v>100</v>
      </c>
      <c r="H96" s="38">
        <v>19100</v>
      </c>
      <c r="T96" s="38">
        <v>1405.3</v>
      </c>
      <c r="V96" s="38">
        <v>1.0004</v>
      </c>
      <c r="Y96" s="38">
        <v>2.8000000000000002E-7</v>
      </c>
      <c r="Z96" s="38">
        <v>0.65</v>
      </c>
      <c r="AA96" s="38">
        <v>111</v>
      </c>
      <c r="AB96" s="38">
        <v>115</v>
      </c>
      <c r="AD96" s="38">
        <v>27.5</v>
      </c>
      <c r="AE96" s="38">
        <v>1.3900000000000001E-5</v>
      </c>
      <c r="AK96" s="38">
        <v>1724</v>
      </c>
      <c r="AM96" s="38">
        <v>965</v>
      </c>
      <c r="AN96" s="38">
        <v>170</v>
      </c>
      <c r="AO96" s="38">
        <v>230</v>
      </c>
      <c r="AT96" s="35">
        <v>4</v>
      </c>
    </row>
    <row r="97" spans="1:46">
      <c r="A97" s="38">
        <v>96</v>
      </c>
      <c r="B97" s="38" t="s">
        <v>138</v>
      </c>
      <c r="C97" s="38" t="s">
        <v>267</v>
      </c>
      <c r="F97" s="38">
        <v>3505</v>
      </c>
      <c r="G97" s="38">
        <v>70.900000000000006</v>
      </c>
      <c r="H97" s="38">
        <v>19896</v>
      </c>
      <c r="T97" s="38">
        <v>912.5</v>
      </c>
      <c r="Y97" s="38">
        <v>1.46E-6</v>
      </c>
      <c r="AB97" s="38">
        <v>130</v>
      </c>
      <c r="AD97" s="38">
        <v>6.774</v>
      </c>
      <c r="AO97" s="38">
        <v>240</v>
      </c>
      <c r="AT97" s="35">
        <v>12</v>
      </c>
    </row>
    <row r="98" spans="1:46">
      <c r="A98" s="38">
        <v>97</v>
      </c>
      <c r="B98" s="38" t="s">
        <v>139</v>
      </c>
      <c r="C98" s="38" t="s">
        <v>267</v>
      </c>
      <c r="F98" s="38">
        <v>3505</v>
      </c>
      <c r="G98" s="38">
        <v>70.900000000000006</v>
      </c>
      <c r="H98" s="38">
        <v>19816</v>
      </c>
      <c r="T98" s="38">
        <v>912.5</v>
      </c>
      <c r="Y98" s="38">
        <v>1.46E-6</v>
      </c>
      <c r="AB98" s="38">
        <v>130</v>
      </c>
      <c r="AD98" s="38">
        <v>6.774</v>
      </c>
      <c r="AO98" s="38">
        <v>240</v>
      </c>
      <c r="AT98" s="35">
        <v>11</v>
      </c>
    </row>
    <row r="99" spans="1:46">
      <c r="A99" s="38">
        <v>98</v>
      </c>
      <c r="B99" s="38" t="s">
        <v>140</v>
      </c>
      <c r="C99" s="38" t="s">
        <v>267</v>
      </c>
      <c r="F99" s="38">
        <v>3505</v>
      </c>
      <c r="G99" s="38">
        <v>70.900000000000006</v>
      </c>
      <c r="H99" s="38">
        <v>19816</v>
      </c>
      <c r="T99" s="38">
        <v>912.5</v>
      </c>
      <c r="Y99" s="38">
        <v>1.46E-6</v>
      </c>
      <c r="AB99" s="38">
        <v>130</v>
      </c>
      <c r="AD99" s="38">
        <v>6.774</v>
      </c>
      <c r="AO99" s="38">
        <v>240</v>
      </c>
      <c r="AT99" s="35">
        <v>13</v>
      </c>
    </row>
    <row r="100" spans="1:46">
      <c r="A100" s="38">
        <v>99</v>
      </c>
      <c r="B100" s="38" t="s">
        <v>141</v>
      </c>
      <c r="C100" s="38" t="s">
        <v>267</v>
      </c>
      <c r="F100" s="38">
        <v>5061</v>
      </c>
      <c r="H100" s="38">
        <v>11724</v>
      </c>
      <c r="T100" s="38">
        <v>2023</v>
      </c>
      <c r="Y100" s="38">
        <v>1.5699999999999999E-7</v>
      </c>
      <c r="AA100" s="38">
        <v>31</v>
      </c>
      <c r="AB100" s="38">
        <v>113.04</v>
      </c>
      <c r="AD100" s="38">
        <v>54</v>
      </c>
      <c r="AE100" s="38">
        <v>1.1E-5</v>
      </c>
      <c r="AN100" s="38">
        <v>79</v>
      </c>
    </row>
    <row r="101" spans="1:46">
      <c r="A101" s="38">
        <v>100</v>
      </c>
      <c r="B101" s="38" t="s">
        <v>142</v>
      </c>
      <c r="C101" s="38" t="s">
        <v>267</v>
      </c>
      <c r="H101" s="38">
        <v>12000</v>
      </c>
      <c r="T101" s="38">
        <v>1449</v>
      </c>
      <c r="AO101" s="38">
        <v>240</v>
      </c>
      <c r="AT101" s="35">
        <v>15</v>
      </c>
    </row>
    <row r="102" spans="1:46">
      <c r="A102" s="38">
        <v>101</v>
      </c>
      <c r="B102" s="38" t="s">
        <v>143</v>
      </c>
      <c r="C102" s="38" t="s">
        <v>267</v>
      </c>
      <c r="H102" s="38">
        <v>12000</v>
      </c>
      <c r="T102" s="38">
        <v>1449</v>
      </c>
    </row>
    <row r="103" spans="1:46">
      <c r="A103" s="38">
        <v>102</v>
      </c>
      <c r="B103" s="38" t="s">
        <v>144</v>
      </c>
      <c r="C103" s="38" t="s">
        <v>267</v>
      </c>
      <c r="F103" s="38">
        <v>3505</v>
      </c>
      <c r="H103" s="38">
        <v>19840</v>
      </c>
      <c r="T103" s="38">
        <v>912.5</v>
      </c>
      <c r="Y103" s="38">
        <v>1.46E-6</v>
      </c>
      <c r="AB103" s="38">
        <v>130</v>
      </c>
      <c r="AD103" s="38">
        <v>6.774</v>
      </c>
      <c r="AO103" s="38">
        <v>240</v>
      </c>
      <c r="AT103" s="35">
        <v>10</v>
      </c>
    </row>
    <row r="104" spans="1:46">
      <c r="A104" s="38">
        <v>103</v>
      </c>
      <c r="B104" s="38" t="s">
        <v>145</v>
      </c>
      <c r="C104" s="38" t="s">
        <v>267</v>
      </c>
      <c r="F104" s="38">
        <v>3070</v>
      </c>
      <c r="H104" s="38">
        <v>11500</v>
      </c>
      <c r="T104" s="38">
        <v>2670</v>
      </c>
      <c r="AO104" s="38">
        <v>270</v>
      </c>
      <c r="AT104" s="35">
        <v>10</v>
      </c>
    </row>
    <row r="105" spans="1:46">
      <c r="A105" s="38">
        <v>104</v>
      </c>
      <c r="B105" s="38" t="s">
        <v>146</v>
      </c>
      <c r="C105" s="38" t="s">
        <v>268</v>
      </c>
      <c r="F105" s="38">
        <v>4.2220000000000004</v>
      </c>
      <c r="H105" s="38">
        <v>125</v>
      </c>
      <c r="K105" s="38">
        <v>0</v>
      </c>
      <c r="M105" s="38">
        <v>0</v>
      </c>
      <c r="T105" s="38">
        <v>0.95</v>
      </c>
      <c r="V105" s="38">
        <v>0.99999999409999996</v>
      </c>
      <c r="Y105" s="38">
        <v>1E-8</v>
      </c>
      <c r="AB105" s="38">
        <v>5193.12</v>
      </c>
      <c r="AD105" s="38">
        <v>0.15129999999999999</v>
      </c>
      <c r="AL105" s="38">
        <v>1.9000000000000001E-5</v>
      </c>
      <c r="AO105" s="38">
        <v>4.0030000000000001</v>
      </c>
      <c r="AQ105" s="38">
        <v>84.5</v>
      </c>
      <c r="AS105" s="38">
        <v>1.66</v>
      </c>
    </row>
    <row r="106" spans="1:46">
      <c r="A106" s="38">
        <v>105</v>
      </c>
      <c r="B106" s="38" t="s">
        <v>147</v>
      </c>
      <c r="C106" s="38" t="s">
        <v>268</v>
      </c>
      <c r="F106" s="38">
        <v>27.103999999999999</v>
      </c>
      <c r="H106" s="38">
        <v>1207</v>
      </c>
      <c r="K106" s="38">
        <v>0</v>
      </c>
      <c r="M106" s="38">
        <v>0</v>
      </c>
      <c r="T106" s="38">
        <v>24.56</v>
      </c>
      <c r="V106" s="38">
        <v>0.99999999589999999</v>
      </c>
      <c r="Y106" s="38">
        <v>1E-8</v>
      </c>
      <c r="AB106" s="38">
        <v>1030.0450000000001</v>
      </c>
      <c r="AD106" s="38">
        <v>4.9099999999999998E-2</v>
      </c>
      <c r="AL106" s="38">
        <v>2.9382000000000001E-5</v>
      </c>
      <c r="AO106" s="38">
        <v>20.18</v>
      </c>
    </row>
    <row r="107" spans="1:46">
      <c r="A107" s="38">
        <v>106</v>
      </c>
      <c r="B107" s="38" t="s">
        <v>148</v>
      </c>
      <c r="C107" s="38" t="s">
        <v>268</v>
      </c>
      <c r="F107" s="38">
        <v>87.302000000000007</v>
      </c>
      <c r="H107" s="38">
        <v>1784</v>
      </c>
      <c r="K107" s="38">
        <v>0</v>
      </c>
      <c r="M107" s="38">
        <v>0</v>
      </c>
      <c r="T107" s="38">
        <v>83.81</v>
      </c>
      <c r="V107" s="38">
        <v>0.99999999399999995</v>
      </c>
      <c r="Y107" s="38">
        <v>9.9999999999999995E-7</v>
      </c>
      <c r="AB107" s="38">
        <v>520.32600000000002</v>
      </c>
      <c r="AD107" s="38">
        <v>1.772E-2</v>
      </c>
      <c r="AL107" s="38">
        <v>2.1016999999999999E-5</v>
      </c>
      <c r="AO107" s="38">
        <v>39.950000000000003</v>
      </c>
      <c r="AS107" s="38">
        <v>1.66</v>
      </c>
    </row>
    <row r="108" spans="1:46">
      <c r="A108" s="38">
        <v>107</v>
      </c>
      <c r="B108" s="38" t="s">
        <v>149</v>
      </c>
      <c r="C108" s="38" t="s">
        <v>268</v>
      </c>
      <c r="F108" s="38">
        <v>119.93</v>
      </c>
      <c r="H108" s="38">
        <v>2413</v>
      </c>
      <c r="K108" s="38">
        <v>0</v>
      </c>
      <c r="M108" s="38">
        <v>0</v>
      </c>
      <c r="T108" s="38">
        <v>115.78</v>
      </c>
      <c r="V108" s="38">
        <v>0.99999999589999999</v>
      </c>
      <c r="Y108" s="38">
        <v>1E-8</v>
      </c>
      <c r="AB108" s="38">
        <v>248.04900000000001</v>
      </c>
      <c r="AD108" s="38">
        <v>9.4299999999999991E-3</v>
      </c>
      <c r="AL108" s="38">
        <v>2.0000000000000002E-5</v>
      </c>
      <c r="AO108" s="38">
        <v>83.8</v>
      </c>
    </row>
    <row r="109" spans="1:46">
      <c r="A109" s="38">
        <v>108</v>
      </c>
      <c r="B109" s="38" t="s">
        <v>150</v>
      </c>
      <c r="C109" s="38" t="s">
        <v>268</v>
      </c>
      <c r="F109" s="38">
        <v>165.05099999999999</v>
      </c>
      <c r="H109" s="38">
        <v>2942</v>
      </c>
      <c r="K109" s="38">
        <v>0</v>
      </c>
      <c r="M109" s="38">
        <v>0</v>
      </c>
      <c r="T109" s="38">
        <v>161.4</v>
      </c>
      <c r="V109" s="38">
        <v>0.999999996</v>
      </c>
      <c r="Y109" s="38">
        <v>1E-8</v>
      </c>
      <c r="AB109" s="38">
        <v>1583.18</v>
      </c>
      <c r="AD109" s="38">
        <v>5.1070999999999998E-3</v>
      </c>
      <c r="AL109" s="38">
        <v>2.1216000000000002E-5</v>
      </c>
      <c r="AO109" s="38">
        <v>131.30000000000001</v>
      </c>
    </row>
    <row r="110" spans="1:46">
      <c r="A110" s="38">
        <v>109</v>
      </c>
      <c r="B110" s="38" t="s">
        <v>151</v>
      </c>
      <c r="C110" s="38" t="s">
        <v>268</v>
      </c>
      <c r="F110" s="38">
        <v>211.5</v>
      </c>
      <c r="H110" s="38">
        <v>4400</v>
      </c>
      <c r="K110" s="38">
        <v>0</v>
      </c>
      <c r="M110" s="38">
        <v>0</v>
      </c>
      <c r="T110" s="38">
        <v>202</v>
      </c>
      <c r="Y110" s="38">
        <v>1E-8</v>
      </c>
      <c r="AB110" s="38">
        <v>93.631</v>
      </c>
      <c r="AD110" s="38">
        <v>3.6099999999999999E-3</v>
      </c>
      <c r="AL110" s="38">
        <v>2.0000000000000002E-5</v>
      </c>
      <c r="AO110" s="38">
        <v>222</v>
      </c>
    </row>
    <row r="111" spans="1:46">
      <c r="A111" s="38">
        <v>110</v>
      </c>
      <c r="B111" s="38" t="s">
        <v>152</v>
      </c>
      <c r="C111" s="38" t="s">
        <v>269</v>
      </c>
      <c r="H111" s="38">
        <v>70.849999999999994</v>
      </c>
      <c r="K111" s="38">
        <v>218</v>
      </c>
      <c r="M111" s="38">
        <v>203.3</v>
      </c>
      <c r="AB111" s="38">
        <v>20636.150000000001</v>
      </c>
      <c r="AD111" s="38">
        <v>1815</v>
      </c>
    </row>
    <row r="112" spans="1:46">
      <c r="A112" s="38">
        <v>111</v>
      </c>
      <c r="B112" s="38" t="s">
        <v>153</v>
      </c>
      <c r="C112" s="38" t="s">
        <v>269</v>
      </c>
      <c r="H112" s="38">
        <v>162.4</v>
      </c>
      <c r="K112" s="38">
        <v>233.40299999999999</v>
      </c>
      <c r="M112" s="38">
        <v>160.78800000000001</v>
      </c>
      <c r="AB112" s="38">
        <v>10327.18</v>
      </c>
    </row>
    <row r="113" spans="1:43">
      <c r="A113" s="38">
        <v>112</v>
      </c>
      <c r="B113" s="38" t="s">
        <v>154</v>
      </c>
      <c r="C113" s="38" t="s">
        <v>269</v>
      </c>
      <c r="H113" s="38">
        <v>2100</v>
      </c>
      <c r="K113" s="38">
        <v>716.68</v>
      </c>
      <c r="M113" s="38">
        <v>158.102</v>
      </c>
      <c r="AB113" s="38">
        <v>1731.79</v>
      </c>
    </row>
    <row r="114" spans="1:43">
      <c r="A114" s="38">
        <v>113</v>
      </c>
      <c r="B114" s="38" t="s">
        <v>155</v>
      </c>
      <c r="C114" s="38" t="s">
        <v>269</v>
      </c>
      <c r="H114" s="38">
        <v>1141</v>
      </c>
      <c r="K114" s="38">
        <v>249</v>
      </c>
      <c r="M114" s="38">
        <v>231.7</v>
      </c>
      <c r="AB114" s="38">
        <v>1300.05</v>
      </c>
    </row>
    <row r="115" spans="1:43">
      <c r="A115" s="38">
        <v>114</v>
      </c>
      <c r="B115" s="38" t="s">
        <v>156</v>
      </c>
      <c r="C115" s="38" t="s">
        <v>269</v>
      </c>
      <c r="H115" s="38">
        <v>808</v>
      </c>
      <c r="K115" s="38">
        <v>472.7</v>
      </c>
      <c r="M115" s="38">
        <v>455.5</v>
      </c>
      <c r="AB115" s="38">
        <v>1485</v>
      </c>
    </row>
    <row r="116" spans="1:43">
      <c r="A116" s="38">
        <v>115</v>
      </c>
      <c r="B116" s="38" t="s">
        <v>157</v>
      </c>
      <c r="C116" s="38" t="s">
        <v>269</v>
      </c>
      <c r="H116" s="38">
        <v>1696</v>
      </c>
      <c r="K116" s="38">
        <v>79.38</v>
      </c>
      <c r="M116" s="38">
        <v>158.75200000000001</v>
      </c>
      <c r="AB116" s="38">
        <v>1094.83</v>
      </c>
    </row>
    <row r="117" spans="1:43">
      <c r="A117" s="38">
        <v>116</v>
      </c>
      <c r="B117" s="38" t="s">
        <v>158</v>
      </c>
      <c r="C117" s="38" t="s">
        <v>274</v>
      </c>
      <c r="H117" s="38">
        <v>3200</v>
      </c>
    </row>
    <row r="118" spans="1:43">
      <c r="A118" s="38">
        <v>117</v>
      </c>
      <c r="B118" s="38" t="s">
        <v>159</v>
      </c>
      <c r="C118" s="38" t="s">
        <v>274</v>
      </c>
      <c r="H118" s="38">
        <v>2670</v>
      </c>
    </row>
    <row r="119" spans="1:43">
      <c r="A119" s="38">
        <v>118</v>
      </c>
      <c r="B119" s="38" t="s">
        <v>160</v>
      </c>
      <c r="C119" s="38" t="s">
        <v>274</v>
      </c>
      <c r="H119" s="38">
        <v>2760</v>
      </c>
    </row>
    <row r="120" spans="1:43">
      <c r="A120" s="38">
        <v>119</v>
      </c>
      <c r="B120" s="38" t="s">
        <v>161</v>
      </c>
      <c r="C120" s="38" t="s">
        <v>274</v>
      </c>
      <c r="H120" s="38">
        <v>3140</v>
      </c>
    </row>
    <row r="121" spans="1:43">
      <c r="A121" s="38">
        <v>120</v>
      </c>
      <c r="B121" s="38" t="s">
        <v>162</v>
      </c>
      <c r="C121" s="38" t="s">
        <v>274</v>
      </c>
      <c r="H121" s="38">
        <v>4610</v>
      </c>
    </row>
    <row r="122" spans="1:43">
      <c r="A122" s="38">
        <v>121</v>
      </c>
      <c r="B122" s="38" t="s">
        <v>163</v>
      </c>
      <c r="C122" s="38" t="s">
        <v>274</v>
      </c>
      <c r="H122" s="38">
        <v>8220</v>
      </c>
    </row>
    <row r="123" spans="1:43">
      <c r="A123" s="38">
        <v>122</v>
      </c>
      <c r="B123" s="38" t="s">
        <v>164</v>
      </c>
      <c r="C123" s="38" t="s">
        <v>274</v>
      </c>
      <c r="H123" s="38">
        <v>3200</v>
      </c>
    </row>
    <row r="124" spans="1:43">
      <c r="A124" s="38">
        <v>123</v>
      </c>
      <c r="B124" s="38" t="s">
        <v>165</v>
      </c>
      <c r="C124" s="38" t="s">
        <v>274</v>
      </c>
      <c r="H124" s="38">
        <v>3300</v>
      </c>
    </row>
    <row r="125" spans="1:43">
      <c r="A125" s="38">
        <v>124</v>
      </c>
      <c r="B125" s="38" t="s">
        <v>166</v>
      </c>
      <c r="C125" s="38" t="s">
        <v>274</v>
      </c>
      <c r="H125" s="38">
        <v>4392</v>
      </c>
    </row>
    <row r="126" spans="1:43">
      <c r="A126" s="38">
        <v>125</v>
      </c>
      <c r="B126" s="38" t="s">
        <v>167</v>
      </c>
      <c r="C126" s="38" t="s">
        <v>274</v>
      </c>
      <c r="H126" s="38">
        <v>4800</v>
      </c>
    </row>
    <row r="127" spans="1:43">
      <c r="A127" s="38">
        <v>126</v>
      </c>
      <c r="B127" s="38" t="s">
        <v>168</v>
      </c>
      <c r="C127" s="38" t="s">
        <v>274</v>
      </c>
      <c r="H127" s="38">
        <v>4392</v>
      </c>
      <c r="AQ127" s="264"/>
    </row>
    <row r="128" spans="1:43">
      <c r="A128" s="38">
        <v>127</v>
      </c>
      <c r="B128" s="38" t="s">
        <v>169</v>
      </c>
      <c r="C128" s="38" t="s">
        <v>274</v>
      </c>
      <c r="H128" s="38">
        <v>5700</v>
      </c>
      <c r="K128" s="38">
        <v>-272</v>
      </c>
      <c r="AD128" s="38">
        <v>3</v>
      </c>
    </row>
    <row r="129" spans="1:42">
      <c r="A129" s="38">
        <v>128</v>
      </c>
      <c r="B129" s="38" t="s">
        <v>170</v>
      </c>
      <c r="C129" s="38" t="s">
        <v>274</v>
      </c>
      <c r="H129" s="38">
        <v>5180</v>
      </c>
      <c r="K129" s="38">
        <v>-1118</v>
      </c>
      <c r="AD129" s="38">
        <v>3.3</v>
      </c>
    </row>
    <row r="130" spans="1:42">
      <c r="A130" s="38">
        <v>129</v>
      </c>
      <c r="B130" s="38" t="s">
        <v>171</v>
      </c>
      <c r="C130" s="38" t="s">
        <v>274</v>
      </c>
      <c r="G130" s="38">
        <v>174.4</v>
      </c>
      <c r="H130" s="38">
        <v>5242</v>
      </c>
      <c r="K130" s="38">
        <v>-824.2</v>
      </c>
      <c r="M130" s="38">
        <v>-742.2</v>
      </c>
      <c r="T130" s="38">
        <v>1838</v>
      </c>
      <c r="Y130" s="38">
        <v>2.8</v>
      </c>
      <c r="AB130" s="38">
        <v>650.64</v>
      </c>
      <c r="AD130" s="38">
        <v>3.9</v>
      </c>
    </row>
    <row r="131" spans="1:42">
      <c r="A131" s="38">
        <v>130</v>
      </c>
      <c r="B131" s="38" t="s">
        <v>172</v>
      </c>
      <c r="C131" s="38" t="s">
        <v>274</v>
      </c>
      <c r="E131" s="38">
        <v>1.2</v>
      </c>
      <c r="F131" s="38">
        <v>2270</v>
      </c>
      <c r="H131" s="38">
        <v>6315</v>
      </c>
      <c r="K131" s="38">
        <v>-156</v>
      </c>
      <c r="M131" s="38">
        <v>-127</v>
      </c>
      <c r="T131" s="38">
        <v>1599</v>
      </c>
      <c r="W131" s="38">
        <v>18.100000000000001</v>
      </c>
      <c r="AA131" s="38">
        <v>32.64</v>
      </c>
      <c r="AB131" s="38">
        <v>513.02</v>
      </c>
      <c r="AD131" s="38">
        <v>0.13650000000000001</v>
      </c>
      <c r="AN131" s="38">
        <v>81.599999999999994</v>
      </c>
    </row>
    <row r="132" spans="1:42">
      <c r="A132" s="38">
        <v>131</v>
      </c>
      <c r="B132" s="38" t="s">
        <v>173</v>
      </c>
      <c r="C132" s="38" t="s">
        <v>274</v>
      </c>
      <c r="H132" s="38">
        <v>2900</v>
      </c>
    </row>
    <row r="133" spans="1:42">
      <c r="A133" s="38">
        <v>132</v>
      </c>
      <c r="B133" s="38" t="s">
        <v>174</v>
      </c>
      <c r="C133" s="38" t="s">
        <v>274</v>
      </c>
      <c r="H133" s="38">
        <v>3278</v>
      </c>
    </row>
    <row r="134" spans="1:42">
      <c r="A134" s="38">
        <v>133</v>
      </c>
      <c r="B134" s="38" t="s">
        <v>175</v>
      </c>
      <c r="C134" s="38" t="s">
        <v>274</v>
      </c>
      <c r="H134" s="38">
        <v>3560</v>
      </c>
    </row>
    <row r="135" spans="1:42">
      <c r="A135" s="38">
        <v>134</v>
      </c>
      <c r="B135" s="38" t="s">
        <v>176</v>
      </c>
      <c r="C135" s="38" t="s">
        <v>274</v>
      </c>
      <c r="H135" s="38">
        <v>2710.2</v>
      </c>
      <c r="K135" s="38">
        <v>-1207</v>
      </c>
      <c r="T135" s="38">
        <v>1612</v>
      </c>
      <c r="Z135" s="38">
        <v>0.9</v>
      </c>
      <c r="AA135" s="38">
        <v>35</v>
      </c>
      <c r="AB135" s="38">
        <v>849.4</v>
      </c>
      <c r="AD135" s="38">
        <v>5.5259999999999998</v>
      </c>
      <c r="AE135" s="38">
        <v>8.6500000000000002E-6</v>
      </c>
      <c r="AN135" s="38">
        <v>69.900000000000006</v>
      </c>
    </row>
    <row r="136" spans="1:42">
      <c r="A136" s="38">
        <v>135</v>
      </c>
      <c r="B136" s="38" t="s">
        <v>177</v>
      </c>
      <c r="C136" s="38" t="s">
        <v>274</v>
      </c>
      <c r="H136" s="38">
        <v>7900</v>
      </c>
    </row>
    <row r="137" spans="1:42">
      <c r="A137" s="38">
        <v>136</v>
      </c>
      <c r="B137" s="38" t="s">
        <v>178</v>
      </c>
      <c r="C137" s="38" t="s">
        <v>275</v>
      </c>
      <c r="D137" s="38">
        <v>1.38E+26</v>
      </c>
      <c r="H137" s="38">
        <v>4560</v>
      </c>
      <c r="R137" s="38" t="b">
        <v>0</v>
      </c>
      <c r="T137" s="38">
        <v>2243</v>
      </c>
      <c r="AC137" s="38">
        <v>2.3000000000000001E-4</v>
      </c>
      <c r="AD137" s="38">
        <v>14</v>
      </c>
      <c r="AG137" s="38">
        <v>1.2099999999999999E-5</v>
      </c>
      <c r="AI137" s="38">
        <v>3E-23</v>
      </c>
      <c r="AJ137" s="38">
        <v>1064.1500000000001</v>
      </c>
      <c r="AK137" s="38">
        <v>200</v>
      </c>
      <c r="AN137" s="38">
        <v>280</v>
      </c>
    </row>
    <row r="138" spans="1:42">
      <c r="A138" s="38">
        <v>137</v>
      </c>
      <c r="B138" s="38" t="s">
        <v>179</v>
      </c>
      <c r="C138" s="38" t="s">
        <v>275</v>
      </c>
      <c r="H138" s="38">
        <v>3950</v>
      </c>
      <c r="R138" s="38" t="b">
        <v>0</v>
      </c>
      <c r="T138" s="38">
        <v>1098</v>
      </c>
      <c r="AB138" s="38">
        <v>790</v>
      </c>
      <c r="AC138" s="38">
        <v>4.8000000000000001E-4</v>
      </c>
      <c r="AD138" s="38">
        <v>6</v>
      </c>
      <c r="AE138" s="38">
        <v>7.9999999999999996E-6</v>
      </c>
      <c r="AG138" s="38">
        <v>-4.3000000000000003E-6</v>
      </c>
      <c r="AI138" s="38">
        <v>2.3000000000000001E-23</v>
      </c>
      <c r="AJ138" s="38">
        <v>1047</v>
      </c>
      <c r="AK138" s="38">
        <v>33</v>
      </c>
      <c r="AN138" s="38">
        <v>75</v>
      </c>
    </row>
    <row r="139" spans="1:42">
      <c r="A139" s="38">
        <v>138</v>
      </c>
      <c r="B139" s="38" t="s">
        <v>180</v>
      </c>
      <c r="C139" s="38" t="s">
        <v>275</v>
      </c>
      <c r="H139" s="38">
        <v>7080</v>
      </c>
      <c r="R139" s="38" t="b">
        <v>0</v>
      </c>
      <c r="T139" s="38">
        <v>1998</v>
      </c>
      <c r="Y139" s="38">
        <v>6.4999999999999997E-4</v>
      </c>
      <c r="AA139" s="38">
        <v>66.400000000000006</v>
      </c>
      <c r="AB139" s="38">
        <v>595</v>
      </c>
      <c r="AC139" s="38">
        <v>2.9999999999999997E-4</v>
      </c>
      <c r="AD139" s="38">
        <v>42</v>
      </c>
      <c r="AE139" s="38">
        <v>7.9999999999999996E-6</v>
      </c>
      <c r="AG139" s="38">
        <v>9.2E-6</v>
      </c>
      <c r="AI139" s="38">
        <v>3E-24</v>
      </c>
      <c r="AJ139" s="38">
        <v>1060</v>
      </c>
      <c r="AK139" s="38">
        <v>390</v>
      </c>
      <c r="AM139" s="38">
        <v>250</v>
      </c>
      <c r="AN139" s="38">
        <v>170</v>
      </c>
    </row>
    <row r="140" spans="1:42">
      <c r="A140" s="38">
        <v>139</v>
      </c>
      <c r="B140" s="38" t="s">
        <v>181</v>
      </c>
      <c r="C140" s="38" t="s">
        <v>275</v>
      </c>
      <c r="H140" s="38">
        <v>3980</v>
      </c>
      <c r="R140" s="38" t="b">
        <v>1</v>
      </c>
      <c r="T140" s="38">
        <v>2313</v>
      </c>
      <c r="AC140" s="38">
        <v>3.0000000000000001E-3</v>
      </c>
      <c r="AD140" s="38">
        <v>46.02</v>
      </c>
      <c r="AE140" s="38">
        <v>5.8000000000000004E-6</v>
      </c>
      <c r="AG140" s="38">
        <v>4.3999999999999999E-5</v>
      </c>
      <c r="AI140" s="38">
        <v>1.9999999999999998E-24</v>
      </c>
      <c r="AJ140" s="38">
        <v>694.3</v>
      </c>
      <c r="AK140" s="38">
        <v>400</v>
      </c>
      <c r="AM140" s="38">
        <v>400</v>
      </c>
      <c r="AN140" s="38">
        <v>345</v>
      </c>
      <c r="AP140" s="38">
        <v>111100</v>
      </c>
    </row>
    <row r="141" spans="1:42">
      <c r="A141" s="38">
        <v>140</v>
      </c>
      <c r="B141" s="38" t="s">
        <v>182</v>
      </c>
      <c r="C141" s="38" t="s">
        <v>275</v>
      </c>
      <c r="H141" s="38">
        <v>2200</v>
      </c>
      <c r="R141" s="38" t="b">
        <v>1</v>
      </c>
      <c r="T141" s="38">
        <v>1938</v>
      </c>
      <c r="Y141" s="38">
        <v>100000000</v>
      </c>
      <c r="AA141" s="38">
        <v>31</v>
      </c>
      <c r="AB141" s="38">
        <v>740</v>
      </c>
      <c r="AC141" s="38">
        <v>0.01</v>
      </c>
      <c r="AD141" s="38">
        <v>1.38</v>
      </c>
      <c r="AE141" s="38">
        <v>5.5000000000000003E-7</v>
      </c>
      <c r="AG141" s="38">
        <v>7.9999999999999996E-6</v>
      </c>
      <c r="AI141" s="38">
        <v>5.9999999999999995E-25</v>
      </c>
      <c r="AJ141" s="38">
        <v>1550</v>
      </c>
      <c r="AK141" s="38">
        <v>900</v>
      </c>
      <c r="AN141" s="38">
        <v>69.2</v>
      </c>
    </row>
    <row r="142" spans="1:42">
      <c r="A142" s="38">
        <v>141</v>
      </c>
      <c r="B142" s="38" t="s">
        <v>183</v>
      </c>
      <c r="C142" s="38" t="s">
        <v>275</v>
      </c>
      <c r="H142" s="38">
        <v>2169</v>
      </c>
      <c r="R142" s="38" t="b">
        <v>1</v>
      </c>
      <c r="T142" s="38">
        <v>1097</v>
      </c>
      <c r="Y142" s="38">
        <v>100000000</v>
      </c>
      <c r="AA142" s="38">
        <v>31</v>
      </c>
      <c r="AB142" s="38">
        <v>740</v>
      </c>
      <c r="AC142" s="38">
        <v>1.5E-3</v>
      </c>
      <c r="AD142" s="38">
        <v>1.38</v>
      </c>
      <c r="AE142" s="38">
        <v>5.5000000000000003E-7</v>
      </c>
      <c r="AG142" s="38">
        <v>7.9999999999999996E-6</v>
      </c>
      <c r="AI142" s="38">
        <v>2.6E-24</v>
      </c>
      <c r="AJ142" s="38">
        <v>1030</v>
      </c>
      <c r="AK142" s="38">
        <v>900</v>
      </c>
      <c r="AN142" s="38">
        <v>69.2</v>
      </c>
    </row>
    <row r="143" spans="1:42">
      <c r="A143" s="38">
        <v>142</v>
      </c>
      <c r="B143" s="38" t="s">
        <v>184</v>
      </c>
      <c r="C143" s="38" t="s">
        <v>275</v>
      </c>
      <c r="H143" s="38">
        <v>2169</v>
      </c>
      <c r="R143" s="38" t="b">
        <v>1</v>
      </c>
      <c r="T143" s="38">
        <v>1818</v>
      </c>
      <c r="Y143" s="38">
        <v>100000000</v>
      </c>
      <c r="AA143" s="38">
        <v>31</v>
      </c>
      <c r="AB143" s="38">
        <v>740</v>
      </c>
      <c r="AC143" s="38">
        <v>1E-3</v>
      </c>
      <c r="AD143" s="38">
        <v>1.38</v>
      </c>
      <c r="AE143" s="38">
        <v>5.5000000000000003E-7</v>
      </c>
      <c r="AG143" s="38">
        <v>7.9999999999999996E-6</v>
      </c>
      <c r="AI143" s="38">
        <v>1.556E-24</v>
      </c>
      <c r="AJ143" s="38">
        <v>1900</v>
      </c>
      <c r="AK143" s="38">
        <v>900</v>
      </c>
      <c r="AN143" s="38">
        <v>69.2</v>
      </c>
    </row>
    <row r="144" spans="1:42">
      <c r="A144" s="38">
        <v>143</v>
      </c>
      <c r="B144" s="38" t="s">
        <v>185</v>
      </c>
      <c r="C144" s="38" t="s">
        <v>275</v>
      </c>
      <c r="H144" s="38">
        <v>3980</v>
      </c>
      <c r="R144" s="38" t="b">
        <v>0</v>
      </c>
      <c r="T144" s="38">
        <v>2313</v>
      </c>
      <c r="AC144" s="38">
        <v>3.1999999999999999E-6</v>
      </c>
      <c r="AD144" s="38">
        <v>33</v>
      </c>
      <c r="AE144" s="38">
        <v>5.0000000000000004E-6</v>
      </c>
      <c r="AG144" s="38">
        <v>1.2999999999999999E-5</v>
      </c>
      <c r="AI144" s="38">
        <v>3E-23</v>
      </c>
      <c r="AJ144" s="38">
        <v>790</v>
      </c>
      <c r="AK144" s="38">
        <v>400</v>
      </c>
      <c r="AN144" s="38">
        <v>335</v>
      </c>
    </row>
    <row r="145" spans="1:43">
      <c r="A145" s="38">
        <v>144</v>
      </c>
      <c r="B145" s="38" t="s">
        <v>186</v>
      </c>
      <c r="C145" s="38" t="s">
        <v>275</v>
      </c>
      <c r="H145" s="38">
        <v>3980</v>
      </c>
      <c r="J145" s="38">
        <v>40</v>
      </c>
      <c r="T145" s="38">
        <v>2303</v>
      </c>
      <c r="W145" s="38">
        <v>11.5</v>
      </c>
      <c r="Y145" s="38">
        <v>100000000000000</v>
      </c>
      <c r="AA145" s="38">
        <v>145</v>
      </c>
      <c r="AB145" s="38">
        <v>761</v>
      </c>
      <c r="AD145" s="38">
        <v>23.1</v>
      </c>
      <c r="AE145" s="38">
        <v>6.6599999999999998E-6</v>
      </c>
      <c r="AK145" s="38">
        <v>1900</v>
      </c>
      <c r="AM145" s="38">
        <v>400</v>
      </c>
      <c r="AN145" s="38">
        <v>345</v>
      </c>
      <c r="AP145" s="38">
        <v>111100</v>
      </c>
    </row>
    <row r="146" spans="1:43">
      <c r="A146" s="38">
        <v>145</v>
      </c>
      <c r="B146" s="38" t="s">
        <v>187</v>
      </c>
      <c r="C146" s="38" t="s">
        <v>275</v>
      </c>
      <c r="H146" s="38">
        <v>2820</v>
      </c>
      <c r="J146" s="38">
        <v>118</v>
      </c>
      <c r="T146" s="38">
        <v>1573</v>
      </c>
      <c r="W146" s="38">
        <v>6</v>
      </c>
      <c r="Y146" s="38">
        <v>4000000000000</v>
      </c>
    </row>
    <row r="147" spans="1:43">
      <c r="A147" s="38">
        <v>146</v>
      </c>
      <c r="B147" s="38" t="s">
        <v>188</v>
      </c>
      <c r="C147" s="38" t="s">
        <v>275</v>
      </c>
      <c r="H147" s="38">
        <v>2203</v>
      </c>
      <c r="J147" s="38">
        <v>40</v>
      </c>
      <c r="S147" s="38">
        <v>4.1250000000000002E-2</v>
      </c>
      <c r="T147" s="38">
        <v>1938</v>
      </c>
      <c r="W147" s="38">
        <v>3.75</v>
      </c>
      <c r="Y147" s="38">
        <v>1E+18</v>
      </c>
      <c r="Z147" s="38">
        <v>0.5</v>
      </c>
      <c r="AA147" s="38">
        <v>31</v>
      </c>
      <c r="AB147" s="38">
        <v>740</v>
      </c>
      <c r="AD147" s="38">
        <v>1.38</v>
      </c>
      <c r="AE147" s="38">
        <v>5.5000000000000003E-7</v>
      </c>
      <c r="AK147" s="38">
        <v>48.3</v>
      </c>
      <c r="AM147" s="38">
        <v>48</v>
      </c>
      <c r="AN147" s="38">
        <v>71.7</v>
      </c>
      <c r="AP147" s="38">
        <v>9395</v>
      </c>
    </row>
    <row r="148" spans="1:43">
      <c r="A148" s="38">
        <v>147</v>
      </c>
      <c r="B148" s="38" t="s">
        <v>189</v>
      </c>
      <c r="C148" s="38" t="s">
        <v>275</v>
      </c>
      <c r="E148" s="38">
        <v>5.5</v>
      </c>
      <c r="F148" s="38">
        <v>5100</v>
      </c>
      <c r="H148" s="38">
        <v>3520</v>
      </c>
      <c r="J148" s="38">
        <v>0.1</v>
      </c>
      <c r="S148" s="38">
        <v>5.1000000000000004E-4</v>
      </c>
      <c r="T148" s="38">
        <v>3823</v>
      </c>
      <c r="W148" s="38">
        <v>5.7</v>
      </c>
      <c r="Y148" s="38">
        <v>1E+18</v>
      </c>
      <c r="Z148" s="38">
        <v>0.1</v>
      </c>
      <c r="AA148" s="38">
        <v>508.3</v>
      </c>
      <c r="AB148" s="38">
        <v>519</v>
      </c>
      <c r="AD148" s="38">
        <v>2100</v>
      </c>
      <c r="AE148" s="38">
        <v>8.9999999999999996E-7</v>
      </c>
      <c r="AF148" s="38">
        <v>2.0000000000000002E-5</v>
      </c>
      <c r="AK148" s="38">
        <v>2800</v>
      </c>
      <c r="AM148" s="38">
        <v>1600</v>
      </c>
      <c r="AN148" s="38">
        <v>1220</v>
      </c>
      <c r="AO148" s="38">
        <v>12.01</v>
      </c>
      <c r="AP148" s="38">
        <v>117000</v>
      </c>
      <c r="AQ148" s="38">
        <v>715000</v>
      </c>
    </row>
    <row r="149" spans="1:43">
      <c r="A149" s="38">
        <v>148</v>
      </c>
      <c r="B149" s="38" t="s">
        <v>190</v>
      </c>
      <c r="C149" s="38" t="s">
        <v>275</v>
      </c>
      <c r="E149" s="38">
        <v>0.74</v>
      </c>
      <c r="H149" s="38">
        <v>5500</v>
      </c>
      <c r="T149" s="38">
        <v>1373</v>
      </c>
      <c r="W149" s="38">
        <v>13.9</v>
      </c>
      <c r="AB149" s="38">
        <v>300</v>
      </c>
      <c r="AD149" s="38">
        <v>5</v>
      </c>
      <c r="AE149" s="38">
        <v>5.66E-6</v>
      </c>
    </row>
    <row r="150" spans="1:43">
      <c r="A150" s="38">
        <v>149</v>
      </c>
      <c r="B150" s="38" t="s">
        <v>191</v>
      </c>
      <c r="C150" s="38" t="s">
        <v>275</v>
      </c>
      <c r="E150" s="38">
        <v>3.4</v>
      </c>
      <c r="H150" s="38">
        <v>6150</v>
      </c>
      <c r="T150" s="38">
        <v>2773</v>
      </c>
      <c r="AD150" s="38">
        <v>230</v>
      </c>
    </row>
    <row r="151" spans="1:43">
      <c r="A151" s="38">
        <v>150</v>
      </c>
      <c r="B151" s="38" t="s">
        <v>192</v>
      </c>
      <c r="C151" s="38" t="s">
        <v>275</v>
      </c>
      <c r="E151" s="38">
        <v>0.37</v>
      </c>
      <c r="F151" s="38">
        <v>1554</v>
      </c>
      <c r="H151" s="38">
        <v>7600</v>
      </c>
      <c r="K151" s="38">
        <v>-98.7</v>
      </c>
      <c r="T151" s="38">
        <v>1391</v>
      </c>
      <c r="AB151" s="38">
        <v>192.31</v>
      </c>
    </row>
    <row r="152" spans="1:43">
      <c r="A152" s="38">
        <v>151</v>
      </c>
      <c r="B152" s="38" t="s">
        <v>193</v>
      </c>
      <c r="C152" s="38" t="s">
        <v>275</v>
      </c>
      <c r="E152" s="38">
        <v>1.74</v>
      </c>
      <c r="H152" s="38">
        <v>5816</v>
      </c>
      <c r="T152" s="38">
        <v>1541</v>
      </c>
    </row>
    <row r="153" spans="1:43">
      <c r="A153" s="38">
        <v>152</v>
      </c>
      <c r="B153" s="38" t="s">
        <v>194</v>
      </c>
      <c r="C153" s="38" t="s">
        <v>275</v>
      </c>
      <c r="E153" s="38">
        <v>0.17</v>
      </c>
      <c r="H153" s="38">
        <v>5775</v>
      </c>
      <c r="T153" s="38">
        <v>800</v>
      </c>
      <c r="AD153" s="38">
        <v>18</v>
      </c>
    </row>
    <row r="154" spans="1:43">
      <c r="A154" s="38">
        <v>153</v>
      </c>
      <c r="B154" s="38" t="s">
        <v>195</v>
      </c>
      <c r="C154" s="38" t="s">
        <v>275</v>
      </c>
      <c r="E154" s="38">
        <v>1.8140000000000001</v>
      </c>
      <c r="H154" s="38">
        <v>5700</v>
      </c>
      <c r="L154" s="38">
        <v>2170</v>
      </c>
      <c r="S154" s="38">
        <v>0.03</v>
      </c>
      <c r="T154" s="38">
        <v>851</v>
      </c>
      <c r="U154" s="38">
        <v>33</v>
      </c>
      <c r="W154" s="38">
        <v>10.5</v>
      </c>
      <c r="Y154" s="38">
        <v>1000000000000</v>
      </c>
      <c r="AA154" s="38">
        <v>14.57</v>
      </c>
      <c r="AB154" s="38">
        <v>298.25</v>
      </c>
      <c r="AD154" s="38">
        <v>1.1000000000000001</v>
      </c>
      <c r="AE154" s="38">
        <v>1.6799999999999998E-5</v>
      </c>
      <c r="AN154" s="38">
        <v>37.6</v>
      </c>
    </row>
    <row r="155" spans="1:43">
      <c r="A155" s="38">
        <v>154</v>
      </c>
      <c r="B155" s="38" t="s">
        <v>196</v>
      </c>
      <c r="C155" s="38" t="s">
        <v>275</v>
      </c>
      <c r="F155" s="38">
        <v>673</v>
      </c>
      <c r="H155" s="38">
        <v>2338</v>
      </c>
      <c r="L155" s="38">
        <v>173000</v>
      </c>
      <c r="S155" s="38">
        <v>80</v>
      </c>
      <c r="T155" s="38">
        <v>525.79999999999995</v>
      </c>
      <c r="U155" s="38">
        <v>0.37</v>
      </c>
    </row>
    <row r="156" spans="1:43">
      <c r="A156" s="38">
        <v>155</v>
      </c>
      <c r="B156" s="38" t="s">
        <v>197</v>
      </c>
      <c r="C156" s="38" t="s">
        <v>275</v>
      </c>
      <c r="H156" s="38">
        <v>3000</v>
      </c>
      <c r="L156" s="38">
        <v>35000</v>
      </c>
      <c r="S156" s="38">
        <v>5</v>
      </c>
      <c r="T156" s="38">
        <v>1423</v>
      </c>
      <c r="U156" s="38">
        <v>3.18</v>
      </c>
      <c r="AD156" s="38">
        <v>2</v>
      </c>
      <c r="AE156" s="38">
        <v>1.1E-5</v>
      </c>
    </row>
    <row r="157" spans="1:43">
      <c r="A157" s="38">
        <v>156</v>
      </c>
      <c r="B157" s="38" t="s">
        <v>198</v>
      </c>
      <c r="C157" s="38" t="s">
        <v>275</v>
      </c>
      <c r="H157" s="38">
        <v>3850</v>
      </c>
      <c r="L157" s="38">
        <v>660000</v>
      </c>
      <c r="S157" s="38">
        <v>15</v>
      </c>
      <c r="T157" s="38">
        <v>1368</v>
      </c>
      <c r="U157" s="38">
        <v>1.94</v>
      </c>
      <c r="W157" s="38">
        <v>8.1</v>
      </c>
      <c r="Y157" s="38">
        <v>16310000</v>
      </c>
      <c r="AB157" s="38">
        <v>19100</v>
      </c>
      <c r="AD157" s="38">
        <v>0.8</v>
      </c>
      <c r="AE157" s="38">
        <v>3.6000000000000001E-5</v>
      </c>
      <c r="AN157" s="38">
        <v>88.98</v>
      </c>
    </row>
    <row r="158" spans="1:43">
      <c r="A158" s="38">
        <v>157</v>
      </c>
      <c r="B158" s="38" t="s">
        <v>199</v>
      </c>
      <c r="C158" s="38" t="s">
        <v>275</v>
      </c>
      <c r="H158" s="38">
        <v>2747</v>
      </c>
      <c r="L158" s="38">
        <v>65000</v>
      </c>
      <c r="S158" s="38">
        <v>25</v>
      </c>
      <c r="T158" s="38">
        <v>1107</v>
      </c>
      <c r="U158" s="38">
        <v>1.1599999999999999</v>
      </c>
      <c r="AB158" s="38">
        <v>1060</v>
      </c>
      <c r="AE158" s="38">
        <v>1.08E-4</v>
      </c>
    </row>
    <row r="159" spans="1:43">
      <c r="A159" s="38">
        <v>158</v>
      </c>
      <c r="B159" s="38" t="s">
        <v>200</v>
      </c>
      <c r="C159" s="38" t="s">
        <v>275</v>
      </c>
      <c r="H159" s="38">
        <v>4650</v>
      </c>
      <c r="L159" s="38">
        <v>12000</v>
      </c>
      <c r="S159" s="38">
        <v>2</v>
      </c>
      <c r="T159" s="38">
        <v>1530</v>
      </c>
      <c r="U159" s="38">
        <v>4.7</v>
      </c>
    </row>
    <row r="160" spans="1:43">
      <c r="A160" s="38">
        <v>159</v>
      </c>
      <c r="B160" s="38" t="s">
        <v>201</v>
      </c>
      <c r="C160" s="38" t="s">
        <v>275</v>
      </c>
      <c r="H160" s="38">
        <v>2230</v>
      </c>
      <c r="J160" s="38">
        <v>10</v>
      </c>
      <c r="S160" s="38">
        <v>3.2890000000000003E-2</v>
      </c>
      <c r="T160" s="38">
        <v>1683</v>
      </c>
      <c r="W160" s="38">
        <v>4.5999999999999996</v>
      </c>
      <c r="Y160" s="38">
        <v>1.9999999999999998E-21</v>
      </c>
      <c r="Z160" s="38">
        <v>0.1</v>
      </c>
      <c r="AA160" s="38">
        <v>26.15</v>
      </c>
      <c r="AB160" s="38">
        <v>750</v>
      </c>
      <c r="AD160" s="38">
        <v>1.1399999999999999</v>
      </c>
      <c r="AE160" s="38">
        <v>3.0000000000000001E-6</v>
      </c>
      <c r="AK160" s="38">
        <v>70</v>
      </c>
      <c r="AM160" s="38">
        <v>70</v>
      </c>
      <c r="AN160" s="38">
        <v>62.76</v>
      </c>
    </row>
    <row r="161" spans="1:45">
      <c r="A161" s="38">
        <v>160</v>
      </c>
      <c r="B161" s="38" t="s">
        <v>202</v>
      </c>
      <c r="C161" s="38" t="s">
        <v>270</v>
      </c>
      <c r="F161" s="38">
        <v>918</v>
      </c>
      <c r="H161" s="38">
        <v>2986</v>
      </c>
      <c r="T161" s="38">
        <v>843</v>
      </c>
    </row>
    <row r="162" spans="1:45">
      <c r="A162" s="38">
        <v>161</v>
      </c>
      <c r="B162" s="38" t="s">
        <v>203</v>
      </c>
      <c r="C162" s="38" t="s">
        <v>270</v>
      </c>
      <c r="F162" s="38">
        <v>2273</v>
      </c>
      <c r="H162" s="38">
        <v>5720</v>
      </c>
      <c r="K162" s="38">
        <v>-582</v>
      </c>
      <c r="T162" s="38">
        <v>2196</v>
      </c>
      <c r="AB162" s="38">
        <v>308.49</v>
      </c>
      <c r="AO162" s="38">
        <v>153.32599999999999</v>
      </c>
      <c r="AS162" s="38">
        <v>1.123</v>
      </c>
    </row>
    <row r="163" spans="1:45">
      <c r="A163" s="38">
        <v>162</v>
      </c>
      <c r="B163" s="38" t="s">
        <v>204</v>
      </c>
      <c r="C163" s="38" t="s">
        <v>270</v>
      </c>
      <c r="H163" s="38">
        <v>2200</v>
      </c>
      <c r="K163" s="38">
        <v>-947.7</v>
      </c>
      <c r="M163" s="38">
        <v>-851.9</v>
      </c>
      <c r="T163" s="38">
        <v>323</v>
      </c>
      <c r="AA163" s="38">
        <v>25.5</v>
      </c>
      <c r="AB163" s="38">
        <v>1042.8900000000001</v>
      </c>
      <c r="AD163" s="38">
        <v>1.46</v>
      </c>
      <c r="AN163" s="38">
        <v>66.900000000000006</v>
      </c>
    </row>
    <row r="164" spans="1:45">
      <c r="A164" s="38">
        <v>163</v>
      </c>
      <c r="B164" s="38" t="s">
        <v>205</v>
      </c>
      <c r="C164" s="38" t="s">
        <v>270</v>
      </c>
      <c r="F164" s="38">
        <v>1266</v>
      </c>
      <c r="H164" s="38">
        <v>3386</v>
      </c>
      <c r="T164" s="38">
        <v>771</v>
      </c>
    </row>
    <row r="165" spans="1:45">
      <c r="A165" s="38">
        <v>164</v>
      </c>
      <c r="B165" s="38" t="s">
        <v>206</v>
      </c>
      <c r="C165" s="38" t="s">
        <v>270</v>
      </c>
      <c r="H165" s="38">
        <v>100</v>
      </c>
      <c r="Q165" s="38" t="b">
        <v>1</v>
      </c>
      <c r="T165" s="38">
        <v>773</v>
      </c>
      <c r="W165" s="38">
        <v>1.1000000000000001</v>
      </c>
      <c r="Y165" s="38">
        <v>10000000000000</v>
      </c>
      <c r="Z165" s="38">
        <v>0.5</v>
      </c>
      <c r="AA165" s="38">
        <v>4.1999999999999997E-3</v>
      </c>
      <c r="AB165" s="38">
        <v>840</v>
      </c>
      <c r="AD165" s="38">
        <v>4.0000000000000001E-3</v>
      </c>
      <c r="AE165" s="38">
        <v>3.0000000000000001E-6</v>
      </c>
      <c r="AK165" s="38">
        <v>1.6E-2</v>
      </c>
      <c r="AM165" s="38">
        <v>1.6E-2</v>
      </c>
      <c r="AN165" s="38">
        <v>0.01</v>
      </c>
    </row>
    <row r="166" spans="1:45">
      <c r="A166" s="38">
        <v>165</v>
      </c>
      <c r="B166" s="38" t="s">
        <v>207</v>
      </c>
      <c r="C166" s="38" t="s">
        <v>270</v>
      </c>
      <c r="H166" s="38">
        <v>8.5</v>
      </c>
      <c r="Q166" s="38" t="b">
        <v>1</v>
      </c>
      <c r="T166" s="38">
        <v>1573</v>
      </c>
      <c r="Y166" s="38">
        <v>5</v>
      </c>
      <c r="Z166" s="38">
        <v>0.9</v>
      </c>
      <c r="AA166" s="38">
        <v>7.9999999999999996E-6</v>
      </c>
      <c r="AB166" s="38">
        <v>1731</v>
      </c>
      <c r="AD166" s="38">
        <v>1000</v>
      </c>
      <c r="AE166" s="38">
        <v>3.0000000000000001E-6</v>
      </c>
      <c r="AK166" s="38">
        <v>0.16</v>
      </c>
      <c r="AM166" s="38">
        <v>0.16</v>
      </c>
      <c r="AN166" s="38">
        <v>1.5E-5</v>
      </c>
    </row>
    <row r="167" spans="1:45">
      <c r="A167" s="38">
        <v>166</v>
      </c>
      <c r="B167" s="38" t="s">
        <v>208</v>
      </c>
      <c r="C167" s="38" t="s">
        <v>270</v>
      </c>
      <c r="H167" s="38">
        <v>43</v>
      </c>
      <c r="P167" s="38" t="b">
        <v>1</v>
      </c>
      <c r="Q167" s="38" t="b">
        <v>1</v>
      </c>
      <c r="T167" s="38">
        <v>1163</v>
      </c>
      <c r="Y167" s="38">
        <v>2.9999999999999999E-7</v>
      </c>
      <c r="Z167" s="38">
        <v>0.9</v>
      </c>
      <c r="AA167" s="38">
        <v>4.4999999999999997E-3</v>
      </c>
      <c r="AB167" s="38">
        <v>463.67</v>
      </c>
      <c r="AD167" s="38">
        <v>5.6520000000000001</v>
      </c>
      <c r="AE167" s="38">
        <v>1.4499999999999999E-3</v>
      </c>
      <c r="AK167" s="38">
        <v>154</v>
      </c>
      <c r="AM167" s="38">
        <v>121</v>
      </c>
      <c r="AN167" s="38">
        <v>8.9999999999999993E-3</v>
      </c>
    </row>
    <row r="168" spans="1:45">
      <c r="A168" s="38">
        <v>167</v>
      </c>
      <c r="B168" s="38" t="s">
        <v>209</v>
      </c>
      <c r="C168" s="38" t="s">
        <v>276</v>
      </c>
      <c r="H168" s="38">
        <v>2230</v>
      </c>
      <c r="T168" s="38">
        <v>3650</v>
      </c>
      <c r="Y168" s="38">
        <v>1E-3</v>
      </c>
      <c r="Z168" s="38">
        <v>0.9</v>
      </c>
      <c r="AA168" s="38">
        <v>11.5</v>
      </c>
      <c r="AB168" s="38">
        <v>1731.7460000000001</v>
      </c>
      <c r="AD168" s="38">
        <v>165</v>
      </c>
      <c r="AE168" s="38">
        <v>3.0000000000000001E-6</v>
      </c>
      <c r="AF168" s="38">
        <v>-1.9999999999999999E-6</v>
      </c>
      <c r="AK168" s="38">
        <v>68.95</v>
      </c>
      <c r="AM168" s="38">
        <v>29.1</v>
      </c>
      <c r="AN168" s="38">
        <v>4.0999999999999996</v>
      </c>
      <c r="AO168" s="38">
        <v>12.01</v>
      </c>
      <c r="AP168" s="38">
        <v>117000</v>
      </c>
      <c r="AQ168" s="38">
        <v>715000</v>
      </c>
      <c r="AR168" s="38">
        <v>6810</v>
      </c>
      <c r="AS168" s="38">
        <v>1.67</v>
      </c>
    </row>
    <row r="169" spans="1:45">
      <c r="A169" s="38">
        <v>168</v>
      </c>
      <c r="B169" s="38" t="s">
        <v>210</v>
      </c>
      <c r="C169" s="38" t="s">
        <v>276</v>
      </c>
      <c r="F169" s="38">
        <v>5273</v>
      </c>
      <c r="H169" s="38">
        <v>2250</v>
      </c>
      <c r="T169" s="38">
        <v>3923</v>
      </c>
      <c r="Y169" s="38">
        <v>1.3570000000000001E-5</v>
      </c>
      <c r="Z169" s="38">
        <v>0.7</v>
      </c>
      <c r="AA169" s="38">
        <v>11.5</v>
      </c>
      <c r="AB169" s="38">
        <v>712</v>
      </c>
      <c r="AD169" s="38">
        <v>240</v>
      </c>
      <c r="AE169" s="38">
        <v>3.0000000000000001E-6</v>
      </c>
      <c r="AF169" s="38">
        <v>-1.9999999999999999E-6</v>
      </c>
      <c r="AK169" s="38">
        <v>15</v>
      </c>
      <c r="AM169" s="38">
        <v>15</v>
      </c>
      <c r="AN169" s="38">
        <v>4.8</v>
      </c>
      <c r="AO169" s="38">
        <v>12.01</v>
      </c>
      <c r="AP169" s="38">
        <v>117000</v>
      </c>
      <c r="AQ169" s="38">
        <v>715000</v>
      </c>
    </row>
    <row r="170" spans="1:45">
      <c r="A170" s="38">
        <v>169</v>
      </c>
      <c r="B170" s="38" t="s">
        <v>211</v>
      </c>
      <c r="C170" s="38" t="s">
        <v>276</v>
      </c>
      <c r="F170" s="38">
        <v>3915</v>
      </c>
      <c r="H170" s="38">
        <v>2100</v>
      </c>
      <c r="K170" s="38">
        <v>0</v>
      </c>
      <c r="T170" s="38">
        <v>3915</v>
      </c>
      <c r="Y170" s="38">
        <v>3.4999999999999997E-5</v>
      </c>
      <c r="Z170" s="38">
        <v>0.9</v>
      </c>
      <c r="AA170" s="38">
        <v>324</v>
      </c>
      <c r="AB170" s="38">
        <v>2040</v>
      </c>
      <c r="AD170" s="38">
        <v>235</v>
      </c>
      <c r="AE170" s="38">
        <v>7.0999999999999998E-6</v>
      </c>
      <c r="AF170" s="38">
        <v>-1.9999999999999999E-6</v>
      </c>
      <c r="AK170" s="38">
        <v>1800</v>
      </c>
      <c r="AM170" s="38">
        <v>800</v>
      </c>
      <c r="AN170" s="38">
        <v>759</v>
      </c>
      <c r="AO170" s="38">
        <v>12.01</v>
      </c>
      <c r="AP170" s="38">
        <v>117000</v>
      </c>
      <c r="AQ170" s="38">
        <v>715000</v>
      </c>
    </row>
    <row r="171" spans="1:45">
      <c r="A171" s="38">
        <v>170</v>
      </c>
      <c r="B171" s="38" t="s">
        <v>212</v>
      </c>
      <c r="C171" s="38" t="s">
        <v>276</v>
      </c>
      <c r="E171" s="38">
        <v>2</v>
      </c>
      <c r="F171" s="38">
        <v>4200</v>
      </c>
      <c r="H171" s="38">
        <v>2080</v>
      </c>
      <c r="T171" s="38">
        <v>2349</v>
      </c>
      <c r="Y171" s="38">
        <v>1000000</v>
      </c>
      <c r="Z171" s="38">
        <v>0.9</v>
      </c>
      <c r="AA171" s="38">
        <v>252</v>
      </c>
      <c r="AB171" s="38">
        <v>1025.6199999999999</v>
      </c>
      <c r="AD171" s="38">
        <v>27.4</v>
      </c>
      <c r="AE171" s="38">
        <v>6.0000000000000002E-6</v>
      </c>
      <c r="AK171" s="38">
        <v>3100</v>
      </c>
      <c r="AM171" s="38">
        <v>3100</v>
      </c>
      <c r="AN171" s="38">
        <v>400</v>
      </c>
      <c r="AO171" s="38">
        <v>10.81</v>
      </c>
      <c r="AP171" s="38">
        <v>50200</v>
      </c>
      <c r="AQ171" s="38">
        <v>508000</v>
      </c>
    </row>
    <row r="172" spans="1:45">
      <c r="A172" s="38">
        <v>171</v>
      </c>
      <c r="B172" s="38" t="s">
        <v>213</v>
      </c>
      <c r="C172" s="38" t="s">
        <v>276</v>
      </c>
      <c r="E172" s="38">
        <v>1.1200000000000001</v>
      </c>
      <c r="F172" s="38">
        <v>3538</v>
      </c>
      <c r="H172" s="38">
        <v>2329</v>
      </c>
      <c r="T172" s="38">
        <v>1687</v>
      </c>
      <c r="Y172" s="38">
        <v>642</v>
      </c>
      <c r="Z172" s="38">
        <v>0.8</v>
      </c>
      <c r="AA172" s="38">
        <v>79.92</v>
      </c>
      <c r="AB172" s="38">
        <v>703</v>
      </c>
      <c r="AD172" s="38">
        <v>149</v>
      </c>
      <c r="AE172" s="38">
        <v>2.6000000000000001E-6</v>
      </c>
      <c r="AF172" s="38">
        <v>4.35E-4</v>
      </c>
      <c r="AK172" s="38">
        <v>110</v>
      </c>
      <c r="AM172" s="38">
        <v>110</v>
      </c>
      <c r="AN172" s="38">
        <v>188</v>
      </c>
      <c r="AO172" s="38">
        <v>28.09</v>
      </c>
      <c r="AP172" s="38">
        <v>50210</v>
      </c>
      <c r="AQ172" s="38">
        <v>359000</v>
      </c>
    </row>
    <row r="173" spans="1:45">
      <c r="A173" s="38">
        <v>172</v>
      </c>
      <c r="B173" s="38" t="s">
        <v>214</v>
      </c>
      <c r="C173" s="38" t="s">
        <v>276</v>
      </c>
      <c r="F173" s="38">
        <v>958</v>
      </c>
      <c r="H173" s="38">
        <v>4810</v>
      </c>
      <c r="T173" s="38">
        <v>494</v>
      </c>
      <c r="Y173" s="38">
        <v>1.06E-6</v>
      </c>
      <c r="Z173" s="38">
        <v>0.7</v>
      </c>
      <c r="AA173" s="38">
        <v>3.7</v>
      </c>
      <c r="AB173" s="38">
        <v>320</v>
      </c>
      <c r="AD173" s="38">
        <v>0.51900000000000002</v>
      </c>
      <c r="AE173" s="38">
        <v>3.6999999999999998E-5</v>
      </c>
      <c r="AF173" s="38">
        <v>8.9499999999999996E-4</v>
      </c>
      <c r="AK173" s="38">
        <v>500</v>
      </c>
      <c r="AM173" s="38">
        <v>300</v>
      </c>
      <c r="AN173" s="38">
        <v>10</v>
      </c>
      <c r="AO173" s="38">
        <v>78.97</v>
      </c>
      <c r="AP173" s="38">
        <v>6690</v>
      </c>
      <c r="AQ173" s="38">
        <v>95480</v>
      </c>
    </row>
    <row r="174" spans="1:45">
      <c r="A174" s="38">
        <v>173</v>
      </c>
      <c r="B174" s="38" t="s">
        <v>215</v>
      </c>
      <c r="C174" s="38" t="s">
        <v>276</v>
      </c>
      <c r="F174" s="38">
        <v>717.8</v>
      </c>
      <c r="H174" s="38">
        <v>1960</v>
      </c>
      <c r="T174" s="38">
        <v>388.36</v>
      </c>
      <c r="W174" s="38">
        <v>3.5</v>
      </c>
      <c r="Y174" s="38">
        <v>2000000000000000</v>
      </c>
      <c r="Z174" s="38">
        <v>0.7</v>
      </c>
      <c r="AA174" s="38">
        <v>7.98</v>
      </c>
      <c r="AB174" s="38">
        <v>709.6</v>
      </c>
      <c r="AD174" s="38">
        <v>0.20499999999999999</v>
      </c>
      <c r="AE174" s="38">
        <v>6.3999999999999997E-5</v>
      </c>
      <c r="AN174" s="38">
        <v>17.8</v>
      </c>
      <c r="AO174" s="38">
        <v>32.07</v>
      </c>
      <c r="AP174" s="38">
        <v>1727</v>
      </c>
      <c r="AQ174" s="38">
        <v>45000</v>
      </c>
    </row>
    <row r="175" spans="1:45" ht="14.25" customHeight="1">
      <c r="A175" s="38">
        <v>174</v>
      </c>
      <c r="B175" s="38" t="s">
        <v>216</v>
      </c>
      <c r="C175" s="38" t="s">
        <v>277</v>
      </c>
      <c r="H175" s="38">
        <v>1490</v>
      </c>
      <c r="K175" s="38">
        <v>-534.73199999999997</v>
      </c>
      <c r="AA175" s="38">
        <v>0.01</v>
      </c>
      <c r="AB175" s="38">
        <v>1406.7</v>
      </c>
      <c r="AD175" s="38">
        <v>0.42399999999999999</v>
      </c>
      <c r="AN175" s="38">
        <v>2.9000000000000001E-2</v>
      </c>
      <c r="AO175" s="38">
        <v>283.13600000000002</v>
      </c>
    </row>
    <row r="176" spans="1:45">
      <c r="A176" s="38">
        <v>175</v>
      </c>
      <c r="B176" s="38" t="s">
        <v>217</v>
      </c>
      <c r="C176" s="38" t="s">
        <v>277</v>
      </c>
      <c r="H176" s="38">
        <v>1910</v>
      </c>
      <c r="K176" s="38">
        <v>104.77</v>
      </c>
      <c r="T176" s="38">
        <v>549</v>
      </c>
      <c r="Z176" s="38">
        <v>0.9</v>
      </c>
      <c r="AA176" s="38">
        <v>5.7949999999999999</v>
      </c>
      <c r="AB176" s="38">
        <v>1260</v>
      </c>
      <c r="AD176" s="38">
        <v>0.379</v>
      </c>
      <c r="AN176" s="38">
        <v>15.3</v>
      </c>
      <c r="AO176" s="38">
        <v>296.15499999999997</v>
      </c>
    </row>
    <row r="177" spans="1:41">
      <c r="A177" s="38">
        <v>176</v>
      </c>
      <c r="B177" s="38" t="s">
        <v>218</v>
      </c>
      <c r="C177" s="38" t="s">
        <v>277</v>
      </c>
      <c r="F177" s="38">
        <v>507</v>
      </c>
      <c r="H177" s="38">
        <v>1820</v>
      </c>
      <c r="K177" s="38">
        <v>66.5</v>
      </c>
      <c r="T177" s="38">
        <v>478.6</v>
      </c>
      <c r="Z177" s="38">
        <v>0.9</v>
      </c>
      <c r="AA177" s="38">
        <v>9.26</v>
      </c>
      <c r="AB177" s="38">
        <v>1120.56</v>
      </c>
      <c r="AD177" s="38">
        <v>0.22700000000000001</v>
      </c>
      <c r="AN177" s="38">
        <v>11.99</v>
      </c>
      <c r="AO177" s="38">
        <v>222.11699999999999</v>
      </c>
    </row>
    <row r="178" spans="1:41">
      <c r="A178" s="38">
        <v>177</v>
      </c>
      <c r="B178" s="38" t="s">
        <v>219</v>
      </c>
      <c r="C178" s="38" t="s">
        <v>277</v>
      </c>
      <c r="F178" s="38">
        <v>323</v>
      </c>
      <c r="H178" s="38">
        <v>1600</v>
      </c>
      <c r="K178" s="38">
        <v>-364</v>
      </c>
      <c r="T178" s="38">
        <v>287</v>
      </c>
      <c r="Z178" s="38">
        <v>0.9</v>
      </c>
      <c r="AA178" s="38">
        <v>16</v>
      </c>
      <c r="AB178" s="38">
        <v>1778.6</v>
      </c>
      <c r="AD178" s="38">
        <v>0.2964</v>
      </c>
      <c r="AL178" s="38">
        <v>3.5999999999999997E-2</v>
      </c>
      <c r="AN178" s="38">
        <v>35</v>
      </c>
      <c r="AO178" s="38">
        <v>227.08500000000001</v>
      </c>
    </row>
    <row r="179" spans="1:41">
      <c r="A179" s="38">
        <v>178</v>
      </c>
      <c r="B179" s="38" t="s">
        <v>220</v>
      </c>
      <c r="C179" s="38" t="s">
        <v>277</v>
      </c>
      <c r="H179" s="38">
        <v>3240</v>
      </c>
      <c r="K179" s="38">
        <v>-988</v>
      </c>
      <c r="M179" s="38">
        <v>-7926</v>
      </c>
      <c r="T179" s="38">
        <v>865</v>
      </c>
      <c r="W179" s="38">
        <v>5.8</v>
      </c>
      <c r="AA179" s="38">
        <v>4.9000000000000004</v>
      </c>
      <c r="AB179" s="38">
        <v>579.33000000000004</v>
      </c>
      <c r="AD179" s="38">
        <v>1.17</v>
      </c>
      <c r="AE179" s="38">
        <v>1.2999999999999999E-5</v>
      </c>
      <c r="AN179" s="38">
        <v>13</v>
      </c>
      <c r="AO179" s="38">
        <v>261.32000000000005</v>
      </c>
    </row>
    <row r="180" spans="1:41">
      <c r="A180" s="38">
        <v>179</v>
      </c>
      <c r="B180" s="38" t="s">
        <v>221</v>
      </c>
      <c r="C180" s="38" t="s">
        <v>277</v>
      </c>
      <c r="F180" s="38">
        <v>513</v>
      </c>
      <c r="H180" s="38">
        <v>1654</v>
      </c>
      <c r="K180" s="38">
        <v>-65.5</v>
      </c>
      <c r="T180" s="38">
        <v>353.5</v>
      </c>
      <c r="AA180" s="38">
        <v>0.89629999999999999</v>
      </c>
      <c r="AB180" s="38">
        <v>1377</v>
      </c>
      <c r="AD180" s="38">
        <v>0.219</v>
      </c>
      <c r="AM180" s="38">
        <v>23.1</v>
      </c>
      <c r="AN180" s="38">
        <v>2.5510000000000002</v>
      </c>
      <c r="AO180" s="171">
        <v>227.13200000000001</v>
      </c>
    </row>
    <row r="181" spans="1:41">
      <c r="A181" s="38">
        <v>180</v>
      </c>
      <c r="B181" s="38" t="s">
        <v>222</v>
      </c>
      <c r="C181" s="38" t="s">
        <v>277</v>
      </c>
      <c r="F181" s="38">
        <v>560</v>
      </c>
      <c r="G181" s="38">
        <v>1.034</v>
      </c>
      <c r="H181" s="38">
        <v>769</v>
      </c>
      <c r="K181" s="38">
        <v>-462.2</v>
      </c>
      <c r="T181" s="38">
        <v>283.10000000000002</v>
      </c>
      <c r="AB181" s="38">
        <v>1880</v>
      </c>
      <c r="AD181" s="38">
        <v>0.11</v>
      </c>
    </row>
    <row r="182" spans="1:41">
      <c r="A182" s="38">
        <v>181</v>
      </c>
      <c r="B182" s="38" t="s">
        <v>223</v>
      </c>
      <c r="C182" s="38" t="s">
        <v>278</v>
      </c>
      <c r="H182" s="38">
        <v>8030</v>
      </c>
      <c r="T182" s="38">
        <v>1727</v>
      </c>
      <c r="V182" s="38">
        <v>7</v>
      </c>
      <c r="Y182" s="38">
        <v>1.1599999999999999E-6</v>
      </c>
      <c r="Z182" s="38">
        <v>0.35</v>
      </c>
      <c r="AA182" s="38">
        <v>77</v>
      </c>
      <c r="AB182" s="38">
        <v>500</v>
      </c>
      <c r="AD182" s="38">
        <v>21.4</v>
      </c>
      <c r="AE182" s="38">
        <v>9.3999999999999998E-6</v>
      </c>
      <c r="AK182" s="38">
        <v>621</v>
      </c>
      <c r="AM182" s="38">
        <v>290</v>
      </c>
      <c r="AN182" s="38">
        <v>193</v>
      </c>
      <c r="AO182" s="38">
        <v>55.1004</v>
      </c>
    </row>
    <row r="183" spans="1:41">
      <c r="A183" s="38">
        <v>182</v>
      </c>
      <c r="B183" s="38" t="s">
        <v>224</v>
      </c>
      <c r="C183" s="38" t="s">
        <v>278</v>
      </c>
      <c r="H183" s="38">
        <v>7740</v>
      </c>
      <c r="T183" s="38">
        <v>1856</v>
      </c>
      <c r="V183" s="38">
        <v>95</v>
      </c>
      <c r="Y183" s="38">
        <v>5.7000000000000005E-7</v>
      </c>
      <c r="Z183" s="38">
        <v>0.5</v>
      </c>
      <c r="AA183" s="38">
        <v>83.9</v>
      </c>
      <c r="AB183" s="38">
        <v>460</v>
      </c>
      <c r="AD183" s="38">
        <v>28.7</v>
      </c>
      <c r="AE183" s="38">
        <v>1.1600000000000001E-5</v>
      </c>
      <c r="AH183" s="38">
        <v>0.04</v>
      </c>
      <c r="AK183" s="38">
        <v>2070</v>
      </c>
      <c r="AM183" s="38">
        <v>1900</v>
      </c>
      <c r="AN183" s="38">
        <v>200</v>
      </c>
      <c r="AO183" s="38">
        <v>55.311179000000003</v>
      </c>
    </row>
    <row r="184" spans="1:41">
      <c r="A184" s="38">
        <v>183</v>
      </c>
      <c r="B184" s="38" t="s">
        <v>225</v>
      </c>
      <c r="C184" s="38" t="s">
        <v>278</v>
      </c>
      <c r="H184" s="38">
        <v>7740</v>
      </c>
      <c r="T184" s="38">
        <v>1883</v>
      </c>
      <c r="V184" s="38">
        <v>1800</v>
      </c>
      <c r="X184" s="38">
        <v>1.03</v>
      </c>
      <c r="Y184" s="38">
        <v>6.7799999999999998E-8</v>
      </c>
      <c r="Z184" s="38">
        <v>0.2</v>
      </c>
      <c r="AA184" s="38">
        <v>83</v>
      </c>
      <c r="AB184" s="38">
        <v>460</v>
      </c>
      <c r="AD184" s="38">
        <v>30.5</v>
      </c>
      <c r="AE184" s="38">
        <v>1.0499999999999999E-5</v>
      </c>
      <c r="AH184" s="38">
        <v>0.69</v>
      </c>
      <c r="AK184" s="38">
        <v>1793</v>
      </c>
      <c r="AM184" s="38">
        <v>1655</v>
      </c>
      <c r="AN184" s="38">
        <v>200</v>
      </c>
    </row>
    <row r="185" spans="1:41">
      <c r="A185" s="38">
        <v>184</v>
      </c>
      <c r="B185" s="38" t="s">
        <v>22</v>
      </c>
      <c r="C185" s="38" t="s">
        <v>278</v>
      </c>
      <c r="H185" s="38">
        <v>8100</v>
      </c>
      <c r="T185" s="38">
        <v>1686</v>
      </c>
      <c r="V185" s="38">
        <v>120</v>
      </c>
      <c r="Y185" s="38">
        <v>1.74E-7</v>
      </c>
      <c r="Z185" s="38">
        <v>0.7</v>
      </c>
      <c r="AA185" s="38">
        <v>77</v>
      </c>
      <c r="AB185" s="38">
        <v>813</v>
      </c>
      <c r="AD185" s="38">
        <v>25.5</v>
      </c>
      <c r="AE185" s="38">
        <v>1.13E-5</v>
      </c>
      <c r="AK185" s="38">
        <v>3500</v>
      </c>
      <c r="AM185" s="38">
        <v>2400</v>
      </c>
      <c r="AN185" s="38">
        <v>210</v>
      </c>
    </row>
    <row r="186" spans="1:41">
      <c r="A186" s="38">
        <v>185</v>
      </c>
      <c r="B186" s="38" t="s">
        <v>14</v>
      </c>
      <c r="C186" s="38" t="s">
        <v>278</v>
      </c>
      <c r="H186" s="38">
        <v>7850</v>
      </c>
      <c r="T186" s="38">
        <v>1783</v>
      </c>
      <c r="V186" s="38">
        <v>28.6</v>
      </c>
      <c r="Y186" s="38">
        <v>1.74E-7</v>
      </c>
      <c r="Z186" s="38">
        <v>0.9</v>
      </c>
      <c r="AA186" s="38">
        <v>80</v>
      </c>
      <c r="AB186" s="38">
        <v>472</v>
      </c>
      <c r="AD186" s="38">
        <v>49.8</v>
      </c>
      <c r="AE186" s="38">
        <v>1.3900000000000001E-5</v>
      </c>
      <c r="AK186" s="38">
        <v>745</v>
      </c>
      <c r="AM186" s="38">
        <v>620</v>
      </c>
      <c r="AN186" s="38">
        <v>210</v>
      </c>
    </row>
    <row r="187" spans="1:41">
      <c r="A187" s="38">
        <v>186</v>
      </c>
      <c r="B187" s="38" t="s">
        <v>226</v>
      </c>
      <c r="C187" s="38" t="s">
        <v>278</v>
      </c>
      <c r="H187" s="38">
        <v>8440</v>
      </c>
      <c r="T187" s="38">
        <v>1698</v>
      </c>
      <c r="V187" s="38">
        <v>1.0005999999999999</v>
      </c>
      <c r="Y187" s="38">
        <v>1.3799999999999999E-6</v>
      </c>
      <c r="Z187" s="38">
        <v>0.6</v>
      </c>
      <c r="AA187" s="38">
        <v>79</v>
      </c>
      <c r="AB187" s="38">
        <v>670</v>
      </c>
      <c r="AD187" s="38">
        <v>25.2</v>
      </c>
      <c r="AE187" s="38">
        <v>7.0999999999999998E-6</v>
      </c>
      <c r="AF187" s="38">
        <v>2.0000000000000002E-5</v>
      </c>
      <c r="AK187" s="38">
        <v>1170</v>
      </c>
      <c r="AM187" s="38">
        <v>1100</v>
      </c>
      <c r="AN187" s="38">
        <v>207.5</v>
      </c>
    </row>
    <row r="188" spans="1:41">
      <c r="A188" s="38">
        <v>187</v>
      </c>
      <c r="B188" s="38" t="s">
        <v>227</v>
      </c>
      <c r="C188" s="38" t="s">
        <v>278</v>
      </c>
      <c r="H188" s="38">
        <v>8200</v>
      </c>
      <c r="T188" s="38">
        <v>1633</v>
      </c>
      <c r="V188" s="38">
        <v>1.002</v>
      </c>
      <c r="Y188" s="38">
        <v>1.24E-6</v>
      </c>
      <c r="Z188" s="38">
        <v>0.4</v>
      </c>
      <c r="AA188" s="38">
        <v>83.43</v>
      </c>
      <c r="AB188" s="38">
        <v>520</v>
      </c>
      <c r="AD188" s="38">
        <v>24.5</v>
      </c>
      <c r="AE188" s="38" t="s">
        <v>228</v>
      </c>
      <c r="AF188" s="38">
        <v>1.8499999999999999E-5</v>
      </c>
      <c r="AK188" s="38">
        <v>1335</v>
      </c>
      <c r="AM188" s="38">
        <v>910</v>
      </c>
      <c r="AN188" s="38">
        <v>204</v>
      </c>
    </row>
    <row r="189" spans="1:41">
      <c r="A189" s="38">
        <v>188</v>
      </c>
      <c r="B189" s="38" t="s">
        <v>229</v>
      </c>
      <c r="C189" s="38" t="s">
        <v>278</v>
      </c>
      <c r="H189" s="38">
        <v>4480</v>
      </c>
      <c r="T189" s="38">
        <v>1863</v>
      </c>
      <c r="Y189" s="38">
        <v>1.5999999999999999E-6</v>
      </c>
      <c r="Z189" s="38">
        <v>0.9</v>
      </c>
      <c r="AA189" s="38">
        <v>84</v>
      </c>
      <c r="AB189" s="38">
        <v>787</v>
      </c>
      <c r="AD189" s="38">
        <v>7.8</v>
      </c>
      <c r="AE189" s="38">
        <v>9.3999999999999998E-6</v>
      </c>
      <c r="AK189" s="38">
        <v>861</v>
      </c>
      <c r="AM189" s="38">
        <v>827</v>
      </c>
      <c r="AN189" s="38">
        <v>177</v>
      </c>
    </row>
    <row r="190" spans="1:41">
      <c r="A190" s="38">
        <v>189</v>
      </c>
      <c r="B190" s="38" t="s">
        <v>230</v>
      </c>
      <c r="C190" s="38" t="s">
        <v>278</v>
      </c>
      <c r="H190" s="38">
        <v>8300</v>
      </c>
      <c r="T190" s="38">
        <v>1700</v>
      </c>
      <c r="V190" s="38">
        <v>1.00085</v>
      </c>
      <c r="Y190" s="38">
        <v>9.9600000000000008E-7</v>
      </c>
      <c r="Z190" s="38">
        <v>0.9</v>
      </c>
      <c r="AA190" s="38">
        <v>72</v>
      </c>
      <c r="AB190" s="38">
        <v>430</v>
      </c>
      <c r="AD190" s="38">
        <v>12.5</v>
      </c>
      <c r="AE190" s="38">
        <v>7.0999999999999998E-6</v>
      </c>
      <c r="AK190" s="38">
        <v>860</v>
      </c>
      <c r="AM190" s="38">
        <v>520</v>
      </c>
      <c r="AN190" s="38">
        <v>189.6</v>
      </c>
    </row>
    <row r="191" spans="1:41">
      <c r="A191" s="38">
        <v>190</v>
      </c>
      <c r="B191" s="38" t="s">
        <v>231</v>
      </c>
      <c r="C191" s="38" t="s">
        <v>278</v>
      </c>
      <c r="H191" s="38">
        <v>2720</v>
      </c>
      <c r="T191" s="38">
        <v>933.47</v>
      </c>
      <c r="Y191" s="38">
        <v>4.6499999999999999E-8</v>
      </c>
      <c r="Z191" s="38">
        <v>0.5</v>
      </c>
      <c r="AA191" s="38">
        <v>24</v>
      </c>
      <c r="AB191" s="38">
        <v>900</v>
      </c>
      <c r="AD191" s="38">
        <v>237</v>
      </c>
      <c r="AE191" s="38">
        <v>2.3099999999999999E-5</v>
      </c>
      <c r="AK191" s="38">
        <v>390</v>
      </c>
      <c r="AM191" s="38">
        <v>345</v>
      </c>
      <c r="AN191" s="38">
        <v>68.900000000000006</v>
      </c>
    </row>
    <row r="192" spans="1:41">
      <c r="A192" s="38">
        <v>191</v>
      </c>
      <c r="B192" s="38" t="s">
        <v>232</v>
      </c>
      <c r="C192" s="38" t="s">
        <v>278</v>
      </c>
      <c r="H192" s="38">
        <v>8900</v>
      </c>
      <c r="T192" s="38">
        <v>1573</v>
      </c>
      <c r="Y192" s="38">
        <v>4.9999999999999998E-7</v>
      </c>
      <c r="Z192" s="38">
        <v>0.9</v>
      </c>
      <c r="AA192" s="38">
        <v>58</v>
      </c>
      <c r="AB192" s="38">
        <v>390</v>
      </c>
      <c r="AD192" s="38">
        <v>19.5</v>
      </c>
      <c r="AE192" s="38">
        <v>1.49E-5</v>
      </c>
      <c r="AF192" s="38">
        <v>-4.0000000000000003E-5</v>
      </c>
      <c r="AK192" s="38">
        <v>860</v>
      </c>
      <c r="AM192" s="38">
        <v>74</v>
      </c>
      <c r="AN192" s="38">
        <v>162</v>
      </c>
    </row>
    <row r="193" spans="1:41">
      <c r="A193" s="38">
        <v>192</v>
      </c>
      <c r="B193" s="38" t="s">
        <v>13</v>
      </c>
      <c r="C193" s="38" t="s">
        <v>278</v>
      </c>
      <c r="H193" s="38">
        <v>7450</v>
      </c>
      <c r="T193" s="38">
        <v>1494</v>
      </c>
      <c r="Y193" s="38">
        <v>5.2E-7</v>
      </c>
      <c r="Z193" s="38">
        <v>0.7</v>
      </c>
      <c r="AA193" s="38">
        <v>81</v>
      </c>
      <c r="AB193" s="38">
        <v>460</v>
      </c>
      <c r="AD193" s="38">
        <v>24.7</v>
      </c>
      <c r="AE193" s="38">
        <v>1.0720000000000001E-5</v>
      </c>
      <c r="AK193" s="38">
        <v>5205</v>
      </c>
      <c r="AM193" s="38">
        <v>5171</v>
      </c>
      <c r="AN193" s="38">
        <v>190</v>
      </c>
      <c r="AO193" s="38">
        <v>54</v>
      </c>
    </row>
    <row r="194" spans="1:41">
      <c r="A194" s="38">
        <v>193</v>
      </c>
      <c r="B194" s="38" t="s">
        <v>233</v>
      </c>
      <c r="C194" s="38" t="s">
        <v>278</v>
      </c>
      <c r="H194" s="38">
        <v>2630</v>
      </c>
      <c r="T194" s="38">
        <v>916</v>
      </c>
      <c r="Y194" s="38">
        <v>5.7000000000000001E-8</v>
      </c>
      <c r="Z194" s="38">
        <v>0.6</v>
      </c>
      <c r="AA194" s="38">
        <v>27.984999999999999</v>
      </c>
      <c r="AB194" s="38">
        <v>864</v>
      </c>
      <c r="AD194" s="38">
        <v>120</v>
      </c>
      <c r="AE194" s="38">
        <v>2.41E-5</v>
      </c>
      <c r="AK194" s="38">
        <v>595</v>
      </c>
      <c r="AM194" s="38">
        <v>505</v>
      </c>
      <c r="AN194" s="38">
        <v>73.099999999999994</v>
      </c>
    </row>
    <row r="195" spans="1:41">
      <c r="A195" s="38">
        <v>194</v>
      </c>
      <c r="B195" s="38" t="s">
        <v>234</v>
      </c>
      <c r="C195" s="38" t="s">
        <v>278</v>
      </c>
      <c r="H195" s="38">
        <v>2850</v>
      </c>
      <c r="T195" s="38">
        <v>938</v>
      </c>
      <c r="Y195" s="38">
        <v>4.9399999999999995E-7</v>
      </c>
      <c r="Z195" s="38">
        <v>0.5</v>
      </c>
      <c r="AA195" s="38">
        <v>423</v>
      </c>
      <c r="AB195" s="38">
        <v>1050</v>
      </c>
      <c r="AD195" s="38">
        <v>190</v>
      </c>
      <c r="AE195" s="38">
        <v>2.34E-5</v>
      </c>
      <c r="AK195" s="38">
        <v>710</v>
      </c>
      <c r="AM195" s="38">
        <v>680</v>
      </c>
      <c r="AN195" s="38">
        <v>689.5</v>
      </c>
    </row>
    <row r="196" spans="1:41">
      <c r="A196" s="38">
        <v>195</v>
      </c>
      <c r="B196" s="38" t="s">
        <v>235</v>
      </c>
      <c r="C196" s="38" t="s">
        <v>278</v>
      </c>
      <c r="H196" s="38">
        <v>5732</v>
      </c>
      <c r="T196" s="38">
        <v>1373</v>
      </c>
      <c r="Y196" s="38">
        <v>1.7999999999999999E-8</v>
      </c>
      <c r="Z196" s="38">
        <v>0.1</v>
      </c>
      <c r="AA196" s="38">
        <v>45</v>
      </c>
      <c r="AB196" s="38">
        <v>385</v>
      </c>
      <c r="AD196" s="38">
        <v>366.9</v>
      </c>
      <c r="AE196" s="38">
        <v>1.6920000000000001E-5</v>
      </c>
      <c r="AK196" s="38">
        <v>1366</v>
      </c>
      <c r="AM196" s="38">
        <v>1008</v>
      </c>
      <c r="AN196" s="38">
        <v>128.9</v>
      </c>
    </row>
    <row r="197" spans="1:41">
      <c r="A197" s="38">
        <v>196</v>
      </c>
      <c r="B197" s="38" t="s">
        <v>236</v>
      </c>
      <c r="C197" s="38" t="s">
        <v>278</v>
      </c>
      <c r="H197" s="38">
        <v>8248.61</v>
      </c>
      <c r="T197" s="38">
        <v>1253</v>
      </c>
      <c r="W197" s="38">
        <v>1.0029999999999999</v>
      </c>
      <c r="Y197" s="38">
        <v>6.1999999999999999E-8</v>
      </c>
      <c r="Z197" s="38">
        <v>0.2</v>
      </c>
      <c r="AA197" s="38">
        <v>48</v>
      </c>
      <c r="AB197" s="38">
        <v>360</v>
      </c>
      <c r="AD197" s="38">
        <v>121.2</v>
      </c>
      <c r="AE197" s="38">
        <v>1.7819999999999999E-5</v>
      </c>
      <c r="AK197" s="38">
        <v>1380</v>
      </c>
      <c r="AM197" s="38">
        <v>1103</v>
      </c>
      <c r="AN197" s="38">
        <v>127.6</v>
      </c>
    </row>
    <row r="198" spans="1:41">
      <c r="A198" s="38">
        <v>197</v>
      </c>
      <c r="B198" s="38" t="s">
        <v>237</v>
      </c>
      <c r="C198" s="38" t="s">
        <v>278</v>
      </c>
      <c r="H198" s="38">
        <v>8700</v>
      </c>
      <c r="T198" s="38">
        <v>1713</v>
      </c>
      <c r="V198" s="38">
        <v>200000</v>
      </c>
      <c r="X198" s="38">
        <v>0.7</v>
      </c>
      <c r="Y198" s="38">
        <v>5.5000000000000003E-7</v>
      </c>
      <c r="Z198" s="38">
        <v>0.5</v>
      </c>
      <c r="AA198" s="38">
        <v>87.2</v>
      </c>
      <c r="AB198" s="38">
        <v>460</v>
      </c>
      <c r="AD198" s="38">
        <v>19</v>
      </c>
      <c r="AE198" s="38">
        <v>1.2E-5</v>
      </c>
      <c r="AH198" s="38">
        <v>0.99</v>
      </c>
      <c r="AK198" s="38">
        <v>700</v>
      </c>
      <c r="AM198" s="38">
        <v>280</v>
      </c>
      <c r="AN198" s="38">
        <v>225</v>
      </c>
    </row>
    <row r="199" spans="1:41">
      <c r="A199" s="38">
        <v>198</v>
      </c>
      <c r="B199" s="38" t="s">
        <v>238</v>
      </c>
      <c r="C199" s="38" t="s">
        <v>278</v>
      </c>
      <c r="H199" s="38">
        <v>7350</v>
      </c>
      <c r="P199" s="38" t="b">
        <v>1</v>
      </c>
      <c r="Q199" s="38" t="b">
        <v>1</v>
      </c>
      <c r="T199" s="38">
        <v>473</v>
      </c>
      <c r="V199" s="38">
        <v>200000</v>
      </c>
      <c r="X199" s="38">
        <v>0.6</v>
      </c>
      <c r="Y199" s="38">
        <v>1.15E-6</v>
      </c>
      <c r="Z199" s="38">
        <v>0.99</v>
      </c>
      <c r="AH199" s="38">
        <v>2.21</v>
      </c>
    </row>
    <row r="200" spans="1:41">
      <c r="A200" s="38">
        <v>199</v>
      </c>
      <c r="B200" s="38" t="s">
        <v>239</v>
      </c>
      <c r="C200" s="38" t="s">
        <v>278</v>
      </c>
      <c r="H200" s="38">
        <v>7590</v>
      </c>
      <c r="T200" s="38">
        <v>923</v>
      </c>
      <c r="V200" s="38">
        <v>1000000</v>
      </c>
      <c r="X200" s="38">
        <v>1.1000000000000001</v>
      </c>
      <c r="Y200" s="38">
        <v>1.3E-6</v>
      </c>
      <c r="Z200" s="38">
        <v>0.05</v>
      </c>
      <c r="AA200" s="38">
        <v>42.3</v>
      </c>
      <c r="AB200" s="38">
        <v>564.79999999999995</v>
      </c>
      <c r="AD200" s="38">
        <v>9</v>
      </c>
      <c r="AE200" s="38">
        <v>7.6000000000000001E-6</v>
      </c>
      <c r="AH200" s="38">
        <v>0.69</v>
      </c>
      <c r="AK200" s="38">
        <v>1100</v>
      </c>
      <c r="AM200" s="38">
        <v>1000</v>
      </c>
      <c r="AN200" s="38">
        <v>110</v>
      </c>
    </row>
    <row r="201" spans="1:41">
      <c r="A201" s="38">
        <v>200</v>
      </c>
      <c r="B201" s="38" t="s">
        <v>240</v>
      </c>
      <c r="C201" s="38" t="s">
        <v>278</v>
      </c>
      <c r="H201" s="38">
        <v>7300</v>
      </c>
      <c r="T201" s="38">
        <v>863</v>
      </c>
      <c r="V201" s="38">
        <v>4</v>
      </c>
      <c r="X201" s="38">
        <v>1.35</v>
      </c>
      <c r="Y201" s="38">
        <v>4.7E-7</v>
      </c>
      <c r="Z201" s="38">
        <v>0.1</v>
      </c>
      <c r="AA201" s="38">
        <v>150</v>
      </c>
      <c r="AB201" s="38">
        <v>500</v>
      </c>
      <c r="AD201" s="38">
        <v>15</v>
      </c>
      <c r="AE201" s="38">
        <v>1.1E-5</v>
      </c>
      <c r="AH201" s="38">
        <v>0.6</v>
      </c>
      <c r="AK201" s="38">
        <v>412</v>
      </c>
      <c r="AM201" s="38">
        <v>37.229999999999997</v>
      </c>
      <c r="AN201" s="38">
        <v>200</v>
      </c>
    </row>
    <row r="202" spans="1:41">
      <c r="A202" s="38">
        <v>201</v>
      </c>
      <c r="B202" s="38" t="s">
        <v>241</v>
      </c>
      <c r="C202" s="38" t="s">
        <v>278</v>
      </c>
      <c r="H202" s="38">
        <v>19700</v>
      </c>
      <c r="T202" s="38">
        <v>3323</v>
      </c>
      <c r="Y202" s="38">
        <v>2.8999999999999998E-7</v>
      </c>
      <c r="Z202" s="38">
        <v>0.9</v>
      </c>
      <c r="AA202" s="38">
        <v>159</v>
      </c>
      <c r="AB202" s="38">
        <v>156</v>
      </c>
      <c r="AD202" s="38">
        <v>70.2</v>
      </c>
      <c r="AE202" s="38">
        <v>5.04E-6</v>
      </c>
      <c r="AF202" s="38">
        <v>-1.42E-5</v>
      </c>
      <c r="AK202" s="38">
        <v>1379</v>
      </c>
      <c r="AM202" s="38">
        <v>672</v>
      </c>
      <c r="AN202" s="38">
        <v>430</v>
      </c>
    </row>
    <row r="203" spans="1:41">
      <c r="A203" s="38">
        <v>202</v>
      </c>
      <c r="B203" s="38" t="s">
        <v>242</v>
      </c>
      <c r="C203" s="38" t="s">
        <v>278</v>
      </c>
      <c r="H203" s="38">
        <v>19550</v>
      </c>
      <c r="T203" s="38">
        <v>2061</v>
      </c>
      <c r="Y203" s="38" t="s">
        <v>243</v>
      </c>
      <c r="Z203" s="38">
        <v>0.8</v>
      </c>
      <c r="AA203" s="38">
        <v>77.989999999999995</v>
      </c>
      <c r="AB203" s="38">
        <v>138.5</v>
      </c>
      <c r="AD203" s="38">
        <v>36.81</v>
      </c>
      <c r="AE203" s="38">
        <v>9.0000000000000002E-6</v>
      </c>
      <c r="AF203" s="38">
        <v>-1.15E-5</v>
      </c>
      <c r="AK203" s="38">
        <v>331</v>
      </c>
      <c r="AM203" s="38">
        <v>190</v>
      </c>
      <c r="AN203" s="38">
        <v>212.6</v>
      </c>
    </row>
    <row r="204" spans="1:41">
      <c r="A204" s="38">
        <v>203</v>
      </c>
      <c r="B204" s="38" t="s">
        <v>244</v>
      </c>
      <c r="C204" s="38" t="s">
        <v>278</v>
      </c>
      <c r="H204" s="38">
        <v>3910</v>
      </c>
      <c r="T204" s="38">
        <v>1733</v>
      </c>
      <c r="Y204" s="38" t="s">
        <v>245</v>
      </c>
      <c r="Z204" s="38">
        <v>0.3</v>
      </c>
      <c r="AA204" s="38">
        <v>70.7</v>
      </c>
      <c r="AB204" s="38">
        <v>2970</v>
      </c>
      <c r="AD204" s="38">
        <v>28</v>
      </c>
      <c r="AE204" s="38" t="s">
        <v>246</v>
      </c>
      <c r="AK204" s="38">
        <v>800</v>
      </c>
      <c r="AM204" s="38">
        <v>650</v>
      </c>
      <c r="AN204" s="38">
        <v>176</v>
      </c>
    </row>
    <row r="205" spans="1:41">
      <c r="A205" s="38">
        <v>204</v>
      </c>
      <c r="B205" s="38" t="s">
        <v>247</v>
      </c>
      <c r="C205" s="38" t="s">
        <v>278</v>
      </c>
      <c r="H205" s="38">
        <v>4200</v>
      </c>
      <c r="T205" s="38">
        <v>1873</v>
      </c>
      <c r="Y205" s="38" t="s">
        <v>248</v>
      </c>
      <c r="Z205" s="38">
        <v>0.05</v>
      </c>
      <c r="AA205" s="38">
        <v>58.3</v>
      </c>
      <c r="AB205" s="38">
        <v>2970</v>
      </c>
      <c r="AD205" s="38">
        <v>22</v>
      </c>
      <c r="AE205" s="38" t="s">
        <v>249</v>
      </c>
      <c r="AK205" s="38">
        <v>1140</v>
      </c>
      <c r="AM205" s="38">
        <v>990</v>
      </c>
      <c r="AN205" s="38">
        <v>145</v>
      </c>
    </row>
    <row r="206" spans="1:41">
      <c r="A206" s="38">
        <v>205</v>
      </c>
      <c r="B206" s="38" t="s">
        <v>250</v>
      </c>
      <c r="C206" s="38" t="s">
        <v>279</v>
      </c>
      <c r="F206" s="38">
        <v>262</v>
      </c>
      <c r="H206" s="38">
        <v>1320</v>
      </c>
      <c r="T206" s="38">
        <v>174</v>
      </c>
      <c r="AB206" s="38">
        <v>1130</v>
      </c>
      <c r="AD206" s="38">
        <v>6.9000000000000006E-2</v>
      </c>
      <c r="AL206" s="38">
        <v>2.99E-4</v>
      </c>
    </row>
    <row r="207" spans="1:41">
      <c r="A207" s="38">
        <v>206</v>
      </c>
      <c r="B207" s="38" t="s">
        <v>251</v>
      </c>
      <c r="C207" s="38" t="s">
        <v>279</v>
      </c>
      <c r="F207" s="38">
        <v>297</v>
      </c>
      <c r="H207" s="38">
        <v>1459</v>
      </c>
      <c r="T207" s="38">
        <v>162</v>
      </c>
      <c r="AB207" s="38">
        <v>900</v>
      </c>
      <c r="AD207" s="38">
        <v>8.4000000000000005E-2</v>
      </c>
      <c r="AL207" s="38">
        <v>5.0000000000000001E-4</v>
      </c>
    </row>
    <row r="208" spans="1:41">
      <c r="A208" s="38">
        <v>207</v>
      </c>
      <c r="B208" s="38" t="s">
        <v>252</v>
      </c>
      <c r="C208" s="38" t="s">
        <v>279</v>
      </c>
      <c r="F208" s="38">
        <v>373</v>
      </c>
      <c r="H208" s="38">
        <v>1093</v>
      </c>
      <c r="P208" s="38" t="b">
        <v>1</v>
      </c>
      <c r="T208" s="38">
        <v>273</v>
      </c>
      <c r="Y208" s="38">
        <v>31.85</v>
      </c>
      <c r="AB208" s="38">
        <v>4005</v>
      </c>
      <c r="AD208" s="38">
        <v>0.73509999999999998</v>
      </c>
      <c r="AL208" s="38">
        <v>8.9400000000000005E-4</v>
      </c>
    </row>
    <row r="209" spans="1:41">
      <c r="A209" s="38">
        <v>208</v>
      </c>
      <c r="B209" s="38" t="s">
        <v>253</v>
      </c>
      <c r="C209" s="38" t="s">
        <v>279</v>
      </c>
      <c r="F209" s="38">
        <v>383</v>
      </c>
      <c r="H209" s="38">
        <v>1060</v>
      </c>
      <c r="T209" s="38">
        <v>237</v>
      </c>
      <c r="AB209" s="38">
        <v>3310</v>
      </c>
      <c r="AD209" s="38">
        <v>0.4229</v>
      </c>
      <c r="AL209" s="38">
        <v>3.0000000000000001E-3</v>
      </c>
    </row>
    <row r="210" spans="1:41">
      <c r="A210" s="38">
        <v>209</v>
      </c>
      <c r="B210" s="38" t="s">
        <v>254</v>
      </c>
      <c r="C210" s="38" t="s">
        <v>271</v>
      </c>
      <c r="F210" s="38">
        <v>23.67</v>
      </c>
      <c r="H210" s="38">
        <v>162.4</v>
      </c>
      <c r="K210" s="38">
        <v>0</v>
      </c>
      <c r="M210" s="38">
        <v>0</v>
      </c>
      <c r="T210" s="38">
        <v>18.73</v>
      </c>
      <c r="AB210" s="38">
        <v>5200</v>
      </c>
      <c r="AD210" s="38">
        <v>0.13006999999999999</v>
      </c>
      <c r="AL210" s="38">
        <v>1.26E-5</v>
      </c>
    </row>
    <row r="211" spans="1:41">
      <c r="A211" s="38">
        <v>210</v>
      </c>
      <c r="B211" s="38" t="s">
        <v>255</v>
      </c>
      <c r="C211" s="38" t="s">
        <v>271</v>
      </c>
      <c r="F211" s="38">
        <v>25.04</v>
      </c>
      <c r="H211" s="38">
        <v>220</v>
      </c>
      <c r="K211" s="38">
        <v>0</v>
      </c>
      <c r="M211" s="38">
        <v>0</v>
      </c>
      <c r="T211" s="38">
        <v>20.62</v>
      </c>
    </row>
    <row r="212" spans="1:41">
      <c r="A212" s="38">
        <v>211</v>
      </c>
      <c r="B212" s="38" t="s">
        <v>256</v>
      </c>
      <c r="C212" s="38" t="s">
        <v>271</v>
      </c>
      <c r="F212" s="38">
        <v>1615</v>
      </c>
      <c r="H212" s="38">
        <v>534</v>
      </c>
      <c r="T212" s="38">
        <v>453.69</v>
      </c>
      <c r="Y212" s="38">
        <v>92.8</v>
      </c>
      <c r="Z212" s="38">
        <v>0.8</v>
      </c>
      <c r="AA212" s="38">
        <v>4.2</v>
      </c>
      <c r="AB212" s="38">
        <v>3580</v>
      </c>
      <c r="AD212" s="38">
        <v>71.2</v>
      </c>
      <c r="AE212" s="38">
        <v>4.6E-5</v>
      </c>
      <c r="AK212" s="38">
        <v>15</v>
      </c>
      <c r="AM212" s="38">
        <v>0.52810000000000001</v>
      </c>
      <c r="AN212" s="38">
        <v>4.9000000000000004</v>
      </c>
    </row>
    <row r="213" spans="1:41">
      <c r="A213" s="38">
        <v>212</v>
      </c>
      <c r="B213" s="38" t="s">
        <v>257</v>
      </c>
      <c r="C213" s="38" t="s">
        <v>271</v>
      </c>
      <c r="F213" s="38">
        <v>4.2220000000000004</v>
      </c>
      <c r="H213" s="38">
        <v>125</v>
      </c>
      <c r="K213" s="38">
        <v>0</v>
      </c>
      <c r="M213" s="38">
        <v>0</v>
      </c>
      <c r="T213" s="38">
        <v>0.95</v>
      </c>
      <c r="Y213" s="38">
        <v>1E-8</v>
      </c>
      <c r="AB213" s="38">
        <v>5193.12</v>
      </c>
      <c r="AD213" s="38">
        <v>0.15129999999999999</v>
      </c>
      <c r="AL213" s="38">
        <v>1.9000000000000001E-5</v>
      </c>
      <c r="AO213" s="38">
        <v>3.016</v>
      </c>
    </row>
    <row r="214" spans="1:41">
      <c r="A214" s="38">
        <v>213</v>
      </c>
      <c r="B214" s="38" t="s">
        <v>258</v>
      </c>
      <c r="C214" s="38" t="s">
        <v>280</v>
      </c>
      <c r="F214" s="38">
        <v>1650</v>
      </c>
      <c r="H214" s="38">
        <v>2640</v>
      </c>
      <c r="T214" s="38">
        <v>1050</v>
      </c>
      <c r="AA214" s="38">
        <v>6.03</v>
      </c>
      <c r="AB214" s="38">
        <v>301.3</v>
      </c>
      <c r="AD214" s="38">
        <v>35.4</v>
      </c>
      <c r="AE214" s="38">
        <v>2.2500000000000001E-5</v>
      </c>
      <c r="AN214" s="38">
        <v>15.7</v>
      </c>
    </row>
    <row r="215" spans="1:41">
      <c r="A215" s="38">
        <v>214</v>
      </c>
      <c r="B215" s="38" t="s">
        <v>259</v>
      </c>
      <c r="C215" s="38" t="s">
        <v>280</v>
      </c>
      <c r="F215" s="38">
        <v>1235</v>
      </c>
      <c r="H215" s="38">
        <v>9398</v>
      </c>
      <c r="T215" s="38">
        <v>527</v>
      </c>
      <c r="Y215" s="38">
        <v>3.9999999999999998E-7</v>
      </c>
      <c r="AB215" s="38">
        <v>126.31</v>
      </c>
      <c r="AD215" s="38">
        <v>20</v>
      </c>
      <c r="AE215" s="38">
        <v>2.3499999999999999E-5</v>
      </c>
    </row>
    <row r="216" spans="1:41">
      <c r="A216" s="38">
        <v>215</v>
      </c>
      <c r="B216" s="38" t="s">
        <v>260</v>
      </c>
      <c r="C216" s="38" t="s">
        <v>280</v>
      </c>
      <c r="F216" s="38">
        <v>3383</v>
      </c>
      <c r="H216" s="38">
        <v>13511</v>
      </c>
      <c r="T216" s="38">
        <v>1613</v>
      </c>
      <c r="Y216" s="38">
        <v>1.2500000000000001E-6</v>
      </c>
      <c r="AD216" s="38">
        <v>10</v>
      </c>
    </row>
    <row r="217" spans="1:41">
      <c r="A217" s="38">
        <v>216</v>
      </c>
      <c r="B217" s="38" t="s">
        <v>261</v>
      </c>
      <c r="C217" s="38" t="s">
        <v>280</v>
      </c>
      <c r="F217" s="38">
        <v>3273</v>
      </c>
      <c r="H217" s="38">
        <v>7260</v>
      </c>
      <c r="T217" s="38">
        <v>1315</v>
      </c>
      <c r="Y217" s="38">
        <v>7.5000000000000002E-7</v>
      </c>
      <c r="AA217" s="38">
        <v>18</v>
      </c>
      <c r="AB217" s="38">
        <v>180</v>
      </c>
      <c r="AD217" s="38">
        <v>17.899999999999999</v>
      </c>
      <c r="AE217" s="38">
        <v>9.0000000000000002E-6</v>
      </c>
      <c r="AN217" s="38">
        <v>46</v>
      </c>
    </row>
    <row r="218" spans="1:41">
      <c r="A218" s="38">
        <v>217</v>
      </c>
      <c r="B218" s="38" t="s">
        <v>2250</v>
      </c>
      <c r="C218" s="38" t="s">
        <v>2251</v>
      </c>
      <c r="H218" s="38">
        <v>1800</v>
      </c>
      <c r="O218" s="38" t="b">
        <v>1</v>
      </c>
      <c r="Q218" s="38" t="b">
        <v>1</v>
      </c>
      <c r="T218" s="38">
        <v>3650</v>
      </c>
      <c r="Y218" s="172">
        <v>1.4E-5</v>
      </c>
      <c r="Z218" s="38">
        <v>0.9</v>
      </c>
      <c r="AA218" s="38">
        <v>103</v>
      </c>
      <c r="AB218" s="38">
        <v>753</v>
      </c>
      <c r="AD218" s="38">
        <v>32</v>
      </c>
      <c r="AE218" s="172">
        <v>-5.5000000000000003E-7</v>
      </c>
      <c r="AK218" s="38">
        <v>6370</v>
      </c>
      <c r="AM218" s="38">
        <v>6370</v>
      </c>
      <c r="AN218" s="38">
        <v>294</v>
      </c>
      <c r="AO218" s="38">
        <v>12.0107</v>
      </c>
    </row>
    <row r="219" spans="1:41">
      <c r="A219" s="38">
        <v>218</v>
      </c>
      <c r="B219" s="38" t="s">
        <v>2252</v>
      </c>
      <c r="C219" s="38" t="s">
        <v>2251</v>
      </c>
      <c r="H219" s="38">
        <v>1430</v>
      </c>
      <c r="O219" s="38" t="b">
        <v>1</v>
      </c>
      <c r="Q219" s="38" t="b">
        <v>1</v>
      </c>
      <c r="T219" s="38">
        <v>420</v>
      </c>
      <c r="Y219" s="172">
        <v>13000000000000</v>
      </c>
      <c r="Z219" s="38">
        <v>0.9</v>
      </c>
      <c r="AA219" s="38">
        <v>2.85</v>
      </c>
      <c r="AB219" s="38">
        <v>1130</v>
      </c>
      <c r="AD219" s="38">
        <v>78.8</v>
      </c>
      <c r="AE219" s="172">
        <v>5.427E-5</v>
      </c>
      <c r="AK219" s="38">
        <v>1080</v>
      </c>
      <c r="AM219" s="38">
        <v>1130</v>
      </c>
      <c r="AN219" s="38">
        <v>0.95599999999999996</v>
      </c>
      <c r="AO219" s="38">
        <v>10.199999999999999</v>
      </c>
    </row>
    <row r="220" spans="1:41">
      <c r="A220" s="38">
        <v>219</v>
      </c>
      <c r="B220" s="38" t="s">
        <v>2253</v>
      </c>
      <c r="C220" s="38" t="s">
        <v>2251</v>
      </c>
      <c r="H220" s="38">
        <v>573</v>
      </c>
      <c r="O220" s="38" t="b">
        <v>1</v>
      </c>
      <c r="Q220" s="38" t="b">
        <v>1</v>
      </c>
      <c r="T220" s="38">
        <v>573</v>
      </c>
      <c r="Y220" s="172">
        <v>1000000000000</v>
      </c>
      <c r="Z220" s="38">
        <v>0.9</v>
      </c>
      <c r="AA220" s="38">
        <v>5.6</v>
      </c>
      <c r="AB220" s="38">
        <v>1200</v>
      </c>
      <c r="AD220" s="38">
        <v>400</v>
      </c>
      <c r="AE220" s="172">
        <v>5.4274999999999998E-5</v>
      </c>
      <c r="AK220" s="38">
        <v>3790</v>
      </c>
      <c r="AM220" s="38">
        <v>2650</v>
      </c>
      <c r="AN220" s="38">
        <v>1.85</v>
      </c>
      <c r="AO220" s="38">
        <v>11.3</v>
      </c>
    </row>
    <row r="222" spans="1:41" ht="14.25" customHeight="1"/>
  </sheetData>
  <mergeCells count="1">
    <mergeCell ref="AV8:AZ10"/>
  </mergeCell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1A33-1195-4ABD-8EE9-62463FE503FE}">
  <sheetPr codeName="Sheet10">
    <tabColor theme="1"/>
  </sheetPr>
  <dimension ref="B2:AB29"/>
  <sheetViews>
    <sheetView topLeftCell="M2" workbookViewId="0">
      <selection activeCell="AB5" sqref="AB5:AB9"/>
    </sheetView>
  </sheetViews>
  <sheetFormatPr defaultRowHeight="14.25"/>
  <cols>
    <col min="1" max="1" width="3.9296875" customWidth="1"/>
    <col min="2" max="2" width="5.9296875" customWidth="1"/>
    <col min="3" max="3" width="8.73046875" customWidth="1"/>
    <col min="4" max="4" width="7.46484375" customWidth="1"/>
    <col min="5" max="5" width="8.86328125" customWidth="1"/>
    <col min="6" max="6" width="6.73046875" style="38" customWidth="1"/>
    <col min="7" max="7" width="8.86328125" style="38" customWidth="1"/>
    <col min="8" max="8" width="7.73046875" style="38" customWidth="1"/>
    <col min="9" max="9" width="4.86328125" style="38" customWidth="1"/>
    <col min="10" max="10" width="5" customWidth="1"/>
    <col min="11" max="11" width="12.1328125" customWidth="1"/>
    <col min="12" max="12" width="5.06640625" customWidth="1"/>
    <col min="13" max="13" width="8.19921875" customWidth="1"/>
    <col min="14" max="17" width="9.86328125" customWidth="1"/>
    <col min="18" max="18" width="9.86328125" style="277" customWidth="1"/>
    <col min="19" max="19" width="9.06640625" customWidth="1"/>
    <col min="20" max="20" width="8.265625" customWidth="1"/>
    <col min="21" max="21" width="10.19921875" customWidth="1"/>
    <col min="22" max="22" width="10.6640625" customWidth="1"/>
    <col min="23" max="23" width="12.46484375" customWidth="1"/>
    <col min="24" max="24" width="5.46484375" customWidth="1"/>
    <col min="25" max="25" width="13.73046875" customWidth="1"/>
    <col min="26" max="26" width="8.59765625" customWidth="1"/>
  </cols>
  <sheetData>
    <row r="2" spans="2:28">
      <c r="B2" s="105" t="s">
        <v>829</v>
      </c>
      <c r="J2" s="105" t="s">
        <v>918</v>
      </c>
    </row>
    <row r="3" spans="2:28" ht="14.65" thickBot="1"/>
    <row r="4" spans="2:28" ht="27.4" customHeight="1" thickBot="1">
      <c r="B4" s="9" t="s">
        <v>831</v>
      </c>
      <c r="C4" s="9" t="s">
        <v>830</v>
      </c>
      <c r="D4" s="9" t="s">
        <v>822</v>
      </c>
      <c r="E4" s="9" t="s">
        <v>832</v>
      </c>
      <c r="F4" s="9" t="s">
        <v>785</v>
      </c>
      <c r="G4" s="9" t="s">
        <v>853</v>
      </c>
      <c r="H4" s="9" t="s">
        <v>845</v>
      </c>
      <c r="J4" s="281" t="s">
        <v>833</v>
      </c>
      <c r="K4" s="281" t="s">
        <v>831</v>
      </c>
      <c r="L4" s="281" t="s">
        <v>830</v>
      </c>
      <c r="M4" s="281" t="s">
        <v>822</v>
      </c>
      <c r="N4" s="602" t="s">
        <v>834</v>
      </c>
      <c r="O4" s="602"/>
      <c r="P4" s="602"/>
      <c r="Q4" s="602"/>
      <c r="R4" s="281" t="s">
        <v>1537</v>
      </c>
      <c r="S4" s="282" t="s">
        <v>835</v>
      </c>
      <c r="T4" s="282" t="s">
        <v>836</v>
      </c>
      <c r="U4" s="282" t="s">
        <v>841</v>
      </c>
      <c r="V4" s="282" t="s">
        <v>877</v>
      </c>
      <c r="W4" s="282" t="s">
        <v>839</v>
      </c>
      <c r="X4" s="282" t="s">
        <v>785</v>
      </c>
      <c r="Y4" s="282" t="s">
        <v>1555</v>
      </c>
      <c r="Z4" s="282" t="s">
        <v>690</v>
      </c>
      <c r="AA4" s="282" t="s">
        <v>1556</v>
      </c>
      <c r="AB4" s="287" t="s">
        <v>1557</v>
      </c>
    </row>
    <row r="5" spans="2:28" ht="14.65" thickBot="1">
      <c r="B5" t="s">
        <v>915</v>
      </c>
      <c r="C5">
        <v>161</v>
      </c>
      <c r="D5" s="35">
        <f>LOOKUP(Explosives[[#This Row],[ref]],Materials[[#All],[Refe-rence]],Materials[[#All],[Enthalpy Of Formation (kJ/mol)]])</f>
        <v>-582</v>
      </c>
      <c r="E5" s="4">
        <f>LOOKUP(Explosives[[#This Row],[ref]],Materials[Refe-rence],Materials[Specific Heat (J/kgK)])*LOOKUP(Explosives[[#This Row],[ref]],Materials[[#All],[Refe-rence]],Materials[[#All],[Molar mass (g/mol)]])/1000</f>
        <v>47.299537739999998</v>
      </c>
      <c r="F5" s="4">
        <f>LOOKUP(Explosives[[#This Row],[ref]],Materials[[#All],[Refe-rence]],Materials[[#All],[Gas Phase Adibatic Index]])</f>
        <v>1.123</v>
      </c>
      <c r="G5" s="4">
        <f>Explosives[[#This Row],[Cp Jmol^-1K^-1]]/Explosives[[#This Row],[gamma]]</f>
        <v>42.118911611754228</v>
      </c>
      <c r="H5" s="4">
        <f>LOOKUP(Explosives[[#This Row],[ref]],Materials[Refe-rence],Materials[Molar mass (g/mol)])/1000</f>
        <v>0.15332599999999999</v>
      </c>
      <c r="I5" s="4"/>
      <c r="J5" s="606">
        <v>1</v>
      </c>
      <c r="K5" s="606" t="s">
        <v>216</v>
      </c>
      <c r="L5" s="606">
        <v>174</v>
      </c>
      <c r="M5" s="607">
        <f>LOOKUP(Explosive!$L5,Materials[[#All],[Refe-rence]],Materials[[#All],[Enthalpy Of Formation (kJ/mol)]])</f>
        <v>-534.73199999999997</v>
      </c>
      <c r="N5" s="280" t="s">
        <v>824</v>
      </c>
      <c r="O5" s="280" t="s">
        <v>825</v>
      </c>
      <c r="P5" s="280" t="s">
        <v>823</v>
      </c>
      <c r="Q5" s="280" t="s">
        <v>826</v>
      </c>
      <c r="R5" s="280" t="s">
        <v>410</v>
      </c>
      <c r="S5" s="605">
        <f>N7+O7+P7+Q7+R7-M5</f>
        <v>-1442.673</v>
      </c>
      <c r="T5" s="605">
        <f>ABS(S5)/SUM(N8:R8)*1000+298</f>
        <v>4210.8741620762221</v>
      </c>
      <c r="U5" s="605">
        <f>8.314/(SUM(N9:Q9)/SUM(N6:Q6))</f>
        <v>309.58428384406142</v>
      </c>
      <c r="V5" s="606">
        <v>494</v>
      </c>
      <c r="W5" s="605">
        <f>ABS(S5/LOOKUP(L5,Material!A:A,Material!AO:AO))</f>
        <v>5.0953358103526218</v>
      </c>
      <c r="X5" s="607">
        <f>((U5*T5/(W5*1000000))+1)</f>
        <v>1.2558458383008151</v>
      </c>
      <c r="Y5" s="608">
        <f>1.01*((SUM(N6:Q6)/LOOKUP(L5,Material!A:A,Material!AO:AO))^0.5*(SUM(N9:Q9)*1000/SUM(N6:Q6))^0.25*(W5*238.846)^0.25*(1+1.3*LOOKUP(L5,Material!A:A,Material!H:H)/1000))*1000</f>
        <v>7305.8382288206012</v>
      </c>
      <c r="Z5" s="609">
        <f>W5/AA5*1000000*100</f>
        <v>207127.00415202006</v>
      </c>
      <c r="AA5" s="611">
        <f>(Y5/1000-1.98)/(1.453*LOOKUP(L5,Material!A:A,Material!H:H)/1000)*1000</f>
        <v>2460.005556114219</v>
      </c>
      <c r="AB5" s="599">
        <f>1/3*Y5</f>
        <v>2435.2794096068669</v>
      </c>
    </row>
    <row r="6" spans="2:28" ht="14.65" thickBot="1">
      <c r="B6" t="s">
        <v>410</v>
      </c>
      <c r="C6" s="38">
        <v>167</v>
      </c>
      <c r="D6" s="35">
        <f>LOOKUP(Explosives[[#This Row],[ref]],Materials[[#All],[Refe-rence]],Materials[[#All],[Enthalpy Of Formation (kJ/mol)]])</f>
        <v>0</v>
      </c>
      <c r="E6" s="4">
        <f>LOOKUP(Explosives[[#This Row],[ref]],Materials[Refe-rence],Materials[Specific Heat (J/kgK)])*LOOKUP(Explosives[[#This Row],[ref]],Materials[[#All],[Refe-rence]],Materials[[#All],[Molar mass (g/mol)]])/1000</f>
        <v>20.79826946</v>
      </c>
      <c r="F6" s="4">
        <f>LOOKUP(Explosives[[#This Row],[ref]],Materials[[#All],[Refe-rence]],Materials[[#All],[Gas Phase Adibatic Index]])</f>
        <v>1.67</v>
      </c>
      <c r="G6" s="4">
        <f>Explosives[[#This Row],[Cp Jmol^-1K^-1]]/Explosives[[#This Row],[gamma]]</f>
        <v>12.454053568862276</v>
      </c>
      <c r="H6" s="4">
        <f>LOOKUP(Explosives[[#This Row],[ref]],Materials[Refe-rence],Materials[Molar mass (g/mol)])/1000</f>
        <v>1.201E-2</v>
      </c>
      <c r="I6" s="4"/>
      <c r="J6" s="601"/>
      <c r="K6" s="601"/>
      <c r="L6" s="601"/>
      <c r="M6" s="604"/>
      <c r="N6" s="96">
        <v>3.5</v>
      </c>
      <c r="O6" s="96">
        <v>3.5</v>
      </c>
      <c r="P6" s="96">
        <v>1.5</v>
      </c>
      <c r="Q6" s="96">
        <v>1</v>
      </c>
      <c r="R6" s="96">
        <v>1</v>
      </c>
      <c r="S6" s="600"/>
      <c r="T6" s="600"/>
      <c r="U6" s="600"/>
      <c r="V6" s="601"/>
      <c r="W6" s="600"/>
      <c r="X6" s="604"/>
      <c r="Y6" s="599"/>
      <c r="Z6" s="610"/>
      <c r="AA6" s="612"/>
      <c r="AB6" s="599"/>
    </row>
    <row r="7" spans="2:28" ht="14.65" thickBot="1">
      <c r="B7" t="s">
        <v>825</v>
      </c>
      <c r="C7" s="38">
        <v>29</v>
      </c>
      <c r="D7" s="38">
        <f>LOOKUP(Explosives[[#This Row],[ref]],Materials[[#All],[Refe-rence]],Materials[[#All],[Enthalpy Of Formation (kJ/mol)]])</f>
        <v>-110.5</v>
      </c>
      <c r="E7" s="4">
        <f>LOOKUP(Explosives[[#This Row],[ref]],Materials[Refe-rence],Materials[Specific Heat (J/kgK)])*LOOKUP(Explosives[[#This Row],[ref]],Materials[[#All],[Refe-rence]],Materials[[#All],[Molar mass (g/mol)]])/1000</f>
        <v>29.099869100000003</v>
      </c>
      <c r="F7" s="38">
        <f>LOOKUP(Explosives[[#This Row],[ref]],Materials[[#All],[Refe-rence]],Materials[[#All],[Gas Phase Adibatic Index]])</f>
        <v>1.4</v>
      </c>
      <c r="G7" s="4">
        <f>Explosives[[#This Row],[Cp Jmol^-1K^-1]]/Explosives[[#This Row],[gamma]]</f>
        <v>20.78562078571429</v>
      </c>
      <c r="H7" s="4">
        <f>LOOKUP(Explosives[[#This Row],[ref]],Materials[Refe-rence],Materials[Molar mass (g/mol)])/1000</f>
        <v>2.801E-2</v>
      </c>
      <c r="I7" s="4"/>
      <c r="J7" s="601"/>
      <c r="K7" s="601"/>
      <c r="L7" s="601"/>
      <c r="M7" s="604"/>
      <c r="N7" s="96">
        <f>IF(N6&gt;0,LOOKUP(N5,Explosives[[Molecule]:[Molecule]],Explosives[[Hf kJmol^-1]:[Hf kJmol^-1]])*N6,0)</f>
        <v>-1000.405</v>
      </c>
      <c r="O7" s="96">
        <f>IF(O6&gt;0,LOOKUP(O5,Explosives[[Molecule]:[Molecule]],Explosives[[Hf kJmol^-1]:[Hf kJmol^-1]])*O6,0)</f>
        <v>-386.75</v>
      </c>
      <c r="P7" s="96">
        <f>IF(P6&gt;0,LOOKUP(P5,Explosives[[Molecule]:[Molecule]],Explosives[[Hf kJmol^-1]:[Hf kJmol^-1]])*P6,0)</f>
        <v>-590.25</v>
      </c>
      <c r="Q7" s="96">
        <f>IF(Q6&gt;0,LOOKUP(Q5,Explosives[[Molecule]:[Molecule]],Explosives[[Hf kJmol^-1]:[Hf kJmol^-1]])*Q6,0)</f>
        <v>0</v>
      </c>
      <c r="R7" s="96">
        <f>IF(R6&gt;0,LOOKUP(R5,Explosives[[Molecule]:[Molecule]],Explosives[[Hf kJmol^-1]:[Hf kJmol^-1]])*R6,0)</f>
        <v>0</v>
      </c>
      <c r="S7" s="600"/>
      <c r="T7" s="600"/>
      <c r="U7" s="600"/>
      <c r="V7" s="601"/>
      <c r="W7" s="600"/>
      <c r="X7" s="604"/>
      <c r="Y7" s="599"/>
      <c r="Z7" s="610"/>
      <c r="AA7" s="612"/>
      <c r="AB7" s="599"/>
    </row>
    <row r="8" spans="2:28" ht="14.65" thickBot="1">
      <c r="B8" t="s">
        <v>823</v>
      </c>
      <c r="C8" s="38">
        <v>30</v>
      </c>
      <c r="D8" s="38">
        <f>LOOKUP(Explosives[[#This Row],[ref]],Materials[[#All],[Refe-rence]],Materials[[#All],[Enthalpy Of Formation (kJ/mol)]])</f>
        <v>-393.5</v>
      </c>
      <c r="E8" s="4">
        <f>LOOKUP(Explosives[[#This Row],[ref]],Materials[Refe-rence],Materials[Specific Heat (J/kgK)])*LOOKUP(Explosives[[#This Row],[ref]],Materials[[#All],[Refe-rence]],Materials[[#All],[Molar mass (g/mol)]])/1000</f>
        <v>37.134977849999999</v>
      </c>
      <c r="F8" s="38">
        <f>LOOKUP(Explosives[[#This Row],[ref]],Materials[[#All],[Refe-rence]],Materials[[#All],[Gas Phase Adibatic Index]])</f>
        <v>1.28</v>
      </c>
      <c r="G8" s="4">
        <f>Explosives[[#This Row],[Cp Jmol^-1K^-1]]/Explosives[[#This Row],[gamma]]</f>
        <v>29.011701445312497</v>
      </c>
      <c r="H8" s="4">
        <f>LOOKUP(Explosives[[#This Row],[ref]],Materials[Refe-rence],Materials[Molar mass (g/mol)])/1000</f>
        <v>4.4010000000000001E-2</v>
      </c>
      <c r="I8" s="4"/>
      <c r="J8" s="601"/>
      <c r="K8" s="601"/>
      <c r="L8" s="601"/>
      <c r="M8" s="604"/>
      <c r="N8" s="97">
        <f>IF(N6&gt;0,LOOKUP(N5,Explosives[[Molecule]:[Molecule]],Explosives[[Cv Jmol^-1K^-1]:[Cv Jmol^-1K^-1]])*N6,0)</f>
        <v>198.36327157894729</v>
      </c>
      <c r="O8" s="97">
        <f>IF(O6&gt;0,LOOKUP(O5,Explosives[[Molecule]:[Molecule]],Explosives[[Cv Jmol^-1K^-1]:[Cv Jmol^-1K^-1]])*O6,0)</f>
        <v>72.749672750000016</v>
      </c>
      <c r="P8" s="97">
        <f>IF(P6&gt;0,LOOKUP(P5,Explosives[[Molecule]:[Molecule]],Explosives[[Cv Jmol^-1K^-1]:[Cv Jmol^-1K^-1]])*P6,0)</f>
        <v>43.517552167968745</v>
      </c>
      <c r="Q8" s="97">
        <f>IF(Q6&gt;0,LOOKUP(Q5,Explosives[[Molecule]:[Molecule]],Explosives[[Cv Jmol^-1K^-1]:[Cv Jmol^-1K^-1]])*Q6,0)</f>
        <v>41.614503428571425</v>
      </c>
      <c r="R8" s="97">
        <f>IF(R6&gt;0,LOOKUP(R5,Explosives[[Molecule]:[Molecule]],Explosives[[Cv Jmol^-1K^-1]:[Cv Jmol^-1K^-1]])*R6,0)</f>
        <v>12.454053568862276</v>
      </c>
      <c r="S8" s="600"/>
      <c r="T8" s="600"/>
      <c r="U8" s="600"/>
      <c r="V8" s="601"/>
      <c r="W8" s="600"/>
      <c r="X8" s="604"/>
      <c r="Y8" s="599"/>
      <c r="Z8" s="610"/>
      <c r="AA8" s="612"/>
      <c r="AB8" s="599"/>
    </row>
    <row r="9" spans="2:28" ht="14.65" thickBot="1">
      <c r="B9" t="s">
        <v>824</v>
      </c>
      <c r="C9" s="38">
        <v>22</v>
      </c>
      <c r="D9" s="38">
        <f>LOOKUP(Explosives[[#This Row],[ref]],Materials[[#All],[Refe-rence]],Materials[[#All],[Enthalpy Of Formation (kJ/mol)]])</f>
        <v>-285.83</v>
      </c>
      <c r="E9" s="4">
        <f>LOOKUP(Explosives[[#This Row],[ref]],Materials[Refe-rence],Materials[Specific Heat (J/kgK)])*LOOKUP(Explosives[[#This Row],[ref]],Materials[[#All],[Refe-rence]],Materials[[#All],[Molar mass (g/mol)]])/1000</f>
        <v>75.378043199999979</v>
      </c>
      <c r="F9" s="38">
        <f>LOOKUP(Explosives[[#This Row],[ref]],Materials[[#All],[Refe-rence]],Materials[[#All],[Gas Phase Adibatic Index]])</f>
        <v>1.33</v>
      </c>
      <c r="G9" s="4">
        <f>Explosives[[#This Row],[Cp Jmol^-1K^-1]]/Explosives[[#This Row],[gamma]]</f>
        <v>56.675220451127799</v>
      </c>
      <c r="H9" s="4">
        <f>LOOKUP(Explosives[[#This Row],[ref]],Materials[Refe-rence],Materials[Molar mass (g/mol)])/1000</f>
        <v>1.8015999999999997E-2</v>
      </c>
      <c r="I9" s="4"/>
      <c r="J9" s="601"/>
      <c r="K9" s="601"/>
      <c r="L9" s="601"/>
      <c r="M9" s="604"/>
      <c r="N9" s="97">
        <f>IF(N6&gt;0,N6*LOOKUP(N5,Explosives[[Molecule]:[Molecule]],Explosives[[Ar kgmol^-1]:[Ar kgmol^-1]]),0)</f>
        <v>6.3055999999999987E-2</v>
      </c>
      <c r="O9" s="97">
        <f>IF(O6&gt;0,O6*LOOKUP(O5,Explosives[[Molecule]:[Molecule]],Explosives[[Ar kgmol^-1]:[Ar kgmol^-1]]),0)</f>
        <v>9.8034999999999997E-2</v>
      </c>
      <c r="P9" s="97">
        <f>IF(P6&gt;0,P6*LOOKUP(P5,Explosives[[Molecule]:[Molecule]],Explosives[[Ar kgmol^-1]:[Ar kgmol^-1]]),0)</f>
        <v>6.6015000000000004E-2</v>
      </c>
      <c r="Q9" s="97">
        <f>IF(Q6&gt;0,Q6*LOOKUP(Q5,Explosives[[Molecule]:[Molecule]],Explosives[[Ar kgmol^-1]:[Ar kgmol^-1]]),0)</f>
        <v>2.802E-2</v>
      </c>
      <c r="R9" s="97">
        <f>IF(R6&gt;0,R6*LOOKUP(R5,Explosives[[Molecule]:[Molecule]],Explosives[[Ar kgmol^-1]:[Ar kgmol^-1]]),0)</f>
        <v>1.201E-2</v>
      </c>
      <c r="S9" s="600"/>
      <c r="T9" s="600"/>
      <c r="U9" s="600"/>
      <c r="V9" s="601"/>
      <c r="W9" s="600"/>
      <c r="X9" s="604"/>
      <c r="Y9" s="599"/>
      <c r="Z9" s="610"/>
      <c r="AA9" s="612"/>
      <c r="AB9" s="599"/>
    </row>
    <row r="10" spans="2:28" ht="14.65" thickBot="1">
      <c r="B10" t="s">
        <v>826</v>
      </c>
      <c r="C10" s="38">
        <v>25</v>
      </c>
      <c r="D10" s="38">
        <f>LOOKUP(Explosives[[#This Row],[ref]],Materials[[#All],[Refe-rence]],Materials[[#All],[Enthalpy Of Formation (kJ/mol)]])</f>
        <v>0</v>
      </c>
      <c r="E10" s="4">
        <f>LOOKUP(Explosives[[#This Row],[ref]],Materials[Refe-rence],Materials[Specific Heat (J/kgK)])*LOOKUP(Explosives[[#This Row],[ref]],Materials[[#All],[Refe-rence]],Materials[[#All],[Molar mass (g/mol)]])/1000</f>
        <v>58.260304799999993</v>
      </c>
      <c r="F10" s="38">
        <f>LOOKUP(Explosives[[#This Row],[ref]],Materials[[#All],[Refe-rence]],Materials[[#All],[Gas Phase Adibatic Index]])</f>
        <v>1.4</v>
      </c>
      <c r="G10" s="4">
        <f>Explosives[[#This Row],[Cp Jmol^-1K^-1]]/Explosives[[#This Row],[gamma]]</f>
        <v>41.614503428571425</v>
      </c>
      <c r="H10" s="4">
        <f>LOOKUP(Explosives[[#This Row],[ref]],Materials[Refe-rence],Materials[Molar mass (g/mol)])/1000</f>
        <v>2.802E-2</v>
      </c>
      <c r="I10" s="4"/>
      <c r="J10" s="601">
        <v>2</v>
      </c>
      <c r="K10" s="603" t="s">
        <v>1536</v>
      </c>
      <c r="L10" s="601">
        <v>175</v>
      </c>
      <c r="M10" s="604">
        <f>LOOKUP(Explosive!$L10,Materials[[#All],[Refe-rence]],Materials[[#All],[Enthalpy Of Formation (kJ/mol)]])</f>
        <v>104.77</v>
      </c>
      <c r="N10" s="276" t="s">
        <v>826</v>
      </c>
      <c r="O10" s="276" t="s">
        <v>824</v>
      </c>
      <c r="P10" s="276" t="s">
        <v>823</v>
      </c>
      <c r="Q10" s="276" t="s">
        <v>825</v>
      </c>
      <c r="R10" s="276" t="s">
        <v>410</v>
      </c>
      <c r="S10" s="605">
        <f>N12+O12+P12+Q12+R12-M10</f>
        <v>-2035.9739999999999</v>
      </c>
      <c r="T10" s="605">
        <f>ABS(S10)/SUM(N13:R13)*1000+298</f>
        <v>4572.9509677336027</v>
      </c>
      <c r="U10" s="605">
        <f>8.314/(SUM(N14:Q14)/SUM(N11:Q11))</f>
        <v>305.47045964713288</v>
      </c>
      <c r="V10" s="601">
        <v>650</v>
      </c>
      <c r="W10" s="600">
        <f>ABS(S10/LOOKUP(L10,Material!A:A,Material!AO:AO))</f>
        <v>6.8746906180885015</v>
      </c>
      <c r="X10" s="604">
        <f>((U10*T10/(W10*1000000))+1)</f>
        <v>1.2031948071062128</v>
      </c>
      <c r="Y10" s="608">
        <f>1.01*((SUM(N11:Q11)/LOOKUP(L10,Material!A:A,Material!AO:AO))^0.5*(SUM(N14:Q14)*1000/SUM(N11:Q11))^0.25*(W10*238.846)^0.25*(1+1.3*LOOKUP(L10,Material!A:A,Material!H:H)/1000))*1000</f>
        <v>9402.4697552350226</v>
      </c>
      <c r="Z10" s="609">
        <f>W10/AA10*1000000*100</f>
        <v>257041.77010059965</v>
      </c>
      <c r="AA10" s="611">
        <f>(Y10/1000-1.98)/(1.453*LOOKUP(L10,Material!A:A,Material!H:H)/1000)*1000</f>
        <v>2674.5422019922757</v>
      </c>
      <c r="AB10" s="599">
        <f>1/3*Y10</f>
        <v>3134.1565850783409</v>
      </c>
    </row>
    <row r="11" spans="2:28" ht="14.65" thickBot="1">
      <c r="B11" t="s">
        <v>828</v>
      </c>
      <c r="C11">
        <v>40</v>
      </c>
      <c r="D11" s="38">
        <f>LOOKUP(Explosives[[#This Row],[ref]],Materials[[#All],[Refe-rence]],Materials[[#All],[Enthalpy Of Formation (kJ/mol)]])</f>
        <v>-46</v>
      </c>
      <c r="E11" s="4">
        <f>LOOKUP(Explosives[[#This Row],[ref]],Materials[Refe-rence],Materials[Specific Heat (J/kgK)])*LOOKUP(Explosives[[#This Row],[ref]],Materials[[#All],[Refe-rence]],Materials[[#All],[Molar mass (g/mol)]])/1000</f>
        <v>0</v>
      </c>
      <c r="F11" s="38">
        <f>LOOKUP(Explosives[[#This Row],[ref]],Materials[[#All],[Refe-rence]],Materials[[#All],[Gas Phase Adibatic Index]])</f>
        <v>1.32</v>
      </c>
      <c r="G11" s="4">
        <f>Explosives[[#This Row],[Cp Jmol^-1K^-1]]/Explosives[[#This Row],[gamma]]</f>
        <v>0</v>
      </c>
      <c r="H11" s="4">
        <f>LOOKUP(Explosives[[#This Row],[ref]],Materials[Refe-rence],Materials[Molar mass (g/mol)])/1000</f>
        <v>0</v>
      </c>
      <c r="J11" s="601"/>
      <c r="K11" s="601"/>
      <c r="L11" s="601"/>
      <c r="M11" s="604"/>
      <c r="N11" s="96">
        <v>4</v>
      </c>
      <c r="O11" s="96">
        <v>4</v>
      </c>
      <c r="P11" s="96">
        <v>2</v>
      </c>
      <c r="Q11" s="96">
        <v>8.0000000000000002E-3</v>
      </c>
      <c r="R11" s="96">
        <v>2</v>
      </c>
      <c r="S11" s="600"/>
      <c r="T11" s="600"/>
      <c r="U11" s="600"/>
      <c r="V11" s="601"/>
      <c r="W11" s="600"/>
      <c r="X11" s="604"/>
      <c r="Y11" s="599"/>
      <c r="Z11" s="610"/>
      <c r="AA11" s="612"/>
      <c r="AB11" s="599"/>
    </row>
    <row r="12" spans="2:28" ht="14.65" thickBot="1">
      <c r="B12" t="s">
        <v>914</v>
      </c>
      <c r="C12">
        <v>26</v>
      </c>
      <c r="D12" s="35">
        <f>LOOKUP(Explosives[[#This Row],[ref]],Materials[[#All],[Refe-rence]],Materials[[#All],[Enthalpy Of Formation (kJ/mol)]])</f>
        <v>34</v>
      </c>
      <c r="E12" s="4">
        <f>LOOKUP(Explosives[[#This Row],[ref]],Materials[Refe-rence],Materials[Specific Heat (J/kgK)])*LOOKUP(Explosives[[#This Row],[ref]],Materials[[#All],[Refe-rence]],Materials[[#All],[Molar mass (g/mol)]])/1000</f>
        <v>37.507351999999997</v>
      </c>
      <c r="F12" s="38">
        <f>LOOKUP(Explosives[[#This Row],[ref]],Materials[[#All],[Refe-rence]],Materials[[#All],[Gas Phase Adibatic Index]])</f>
        <v>1.262</v>
      </c>
      <c r="G12" s="4">
        <f>Explosives[[#This Row],[Cp Jmol^-1K^-1]]/Explosives[[#This Row],[gamma]]</f>
        <v>29.72056418383518</v>
      </c>
      <c r="H12" s="4">
        <f>LOOKUP(Explosives[[#This Row],[ref]],Materials[Refe-rence],Materials[Molar mass (g/mol)])/1000</f>
        <v>4.6009999999999995E-2</v>
      </c>
      <c r="J12" s="601"/>
      <c r="K12" s="601"/>
      <c r="L12" s="601"/>
      <c r="M12" s="604"/>
      <c r="N12" s="96">
        <f>IF(N11&gt;0,LOOKUP(N10,Explosives[[Molecule]:[Molecule]],Explosives[[Hf kJmol^-1]:[Hf kJmol^-1]])*N11,0)</f>
        <v>0</v>
      </c>
      <c r="O12" s="96">
        <f>IF(O11&gt;0,LOOKUP(O10,Explosives[[Molecule]:[Molecule]],Explosives[[Hf kJmol^-1]:[Hf kJmol^-1]])*O11,0)</f>
        <v>-1143.32</v>
      </c>
      <c r="P12" s="96">
        <f>IF(P11&gt;0,LOOKUP(P10,Explosives[[Molecule]:[Molecule]],Explosives[[Hf kJmol^-1]:[Hf kJmol^-1]])*P11,0)</f>
        <v>-787</v>
      </c>
      <c r="Q12" s="96">
        <f>IF(Q11&gt;0,LOOKUP(Q10,Explosives[[Molecule]:[Molecule]],Explosives[[Hf kJmol^-1]:[Hf kJmol^-1]])*Q11,0)</f>
        <v>-0.88400000000000001</v>
      </c>
      <c r="R12" s="96">
        <f>IF(R11&gt;0,LOOKUP(R10,Explosives[[Molecule]:[Molecule]],Explosives[[Hf kJmol^-1]:[Hf kJmol^-1]])*R11,0)</f>
        <v>0</v>
      </c>
      <c r="S12" s="600"/>
      <c r="T12" s="600"/>
      <c r="U12" s="600"/>
      <c r="V12" s="601"/>
      <c r="W12" s="600"/>
      <c r="X12" s="604"/>
      <c r="Y12" s="599"/>
      <c r="Z12" s="610"/>
      <c r="AA12" s="612"/>
      <c r="AB12" s="599"/>
    </row>
    <row r="13" spans="2:28" ht="14.65" thickBot="1">
      <c r="B13" t="s">
        <v>827</v>
      </c>
      <c r="C13">
        <v>31</v>
      </c>
      <c r="D13" s="38">
        <f>LOOKUP(Explosives[[#This Row],[ref]],Materials[[#All],[Refe-rence]],Materials[[#All],[Enthalpy Of Formation (kJ/mol)]])</f>
        <v>0</v>
      </c>
      <c r="E13" s="4">
        <f>LOOKUP(Explosives[[#This Row],[ref]],Materials[Refe-rence],Materials[Specific Heat (J/kgK)])*LOOKUP(Explosives[[#This Row],[ref]],Materials[[#All],[Refe-rence]],Materials[[#All],[Molar mass (g/mol)]])/1000</f>
        <v>29.312000000000001</v>
      </c>
      <c r="F13" s="38">
        <f>LOOKUP(Explosives[[#This Row],[ref]],Materials[[#All],[Refe-rence]],Materials[[#All],[Gas Phase Adibatic Index]])</f>
        <v>1.4</v>
      </c>
      <c r="G13" s="4">
        <f>Explosives[[#This Row],[Cp Jmol^-1K^-1]]/Explosives[[#This Row],[gamma]]</f>
        <v>20.937142857142859</v>
      </c>
      <c r="H13" s="4">
        <f>LOOKUP(Explosives[[#This Row],[ref]],Materials[Refe-rence],Materials[Molar mass (g/mol)])/1000</f>
        <v>3.2000000000000001E-2</v>
      </c>
      <c r="J13" s="601"/>
      <c r="K13" s="601"/>
      <c r="L13" s="601"/>
      <c r="M13" s="604"/>
      <c r="N13" s="97">
        <f>IF(N11&gt;0,LOOKUP(N10,Explosives[[Molecule]:[Molecule]],Explosives[[Cv Jmol^-1K^-1]:[Cv Jmol^-1K^-1]])*N11,0)</f>
        <v>166.4580137142857</v>
      </c>
      <c r="O13" s="97">
        <f>IF(O11&gt;0,LOOKUP(O10,Explosives[[Molecule]:[Molecule]],Explosives[[Cv Jmol^-1K^-1]:[Cv Jmol^-1K^-1]])*O11,0)</f>
        <v>226.7008818045112</v>
      </c>
      <c r="P13" s="97">
        <f>IF(P11&gt;0,LOOKUP(P10,Explosives[[Molecule]:[Molecule]],Explosives[[Cv Jmol^-1K^-1]:[Cv Jmol^-1K^-1]])*P11,0)</f>
        <v>58.023402890624993</v>
      </c>
      <c r="Q13" s="97">
        <f>IF(Q11&gt;0,LOOKUP(Q10,Explosives[[Molecule]:[Molecule]],Explosives[[Cv Jmol^-1K^-1]:[Cv Jmol^-1K^-1]])*Q11,0)</f>
        <v>0.16628496628571432</v>
      </c>
      <c r="R13" s="97">
        <f>IF(R11&gt;0,LOOKUP(R10,Explosives[[Molecule]:[Molecule]],Explosives[[Cv Jmol^-1K^-1]:[Cv Jmol^-1K^-1]])*R11,0)</f>
        <v>24.908107137724553</v>
      </c>
      <c r="S13" s="600"/>
      <c r="T13" s="600"/>
      <c r="U13" s="600"/>
      <c r="V13" s="601"/>
      <c r="W13" s="600"/>
      <c r="X13" s="604"/>
      <c r="Y13" s="599"/>
      <c r="Z13" s="610"/>
      <c r="AA13" s="612"/>
      <c r="AB13" s="599"/>
    </row>
    <row r="14" spans="2:28" ht="14.65" thickBot="1">
      <c r="J14" s="601"/>
      <c r="K14" s="601"/>
      <c r="L14" s="601"/>
      <c r="M14" s="604"/>
      <c r="N14" s="97">
        <f>IF(N11&gt;0,N11*LOOKUP(N10,Explosives[[Molecule]:[Molecule]],Explosives[[Ar kgmol^-1]:[Ar kgmol^-1]]),0)</f>
        <v>0.11208</v>
      </c>
      <c r="O14" s="97">
        <f>IF(O11&gt;0,O11*LOOKUP(O10,Explosives[[Molecule]:[Molecule]],Explosives[[Ar kgmol^-1]:[Ar kgmol^-1]]),0)</f>
        <v>7.2063999999999989E-2</v>
      </c>
      <c r="P14" s="97">
        <f>IF(P11&gt;0,P11*LOOKUP(P10,Explosives[[Molecule]:[Molecule]],Explosives[[Ar kgmol^-1]:[Ar kgmol^-1]]),0)</f>
        <v>8.8020000000000001E-2</v>
      </c>
      <c r="Q14" s="97">
        <f>IF(Q11&gt;0,Q11*LOOKUP(Q10,Explosives[[Molecule]:[Molecule]],Explosives[[Ar kgmol^-1]:[Ar kgmol^-1]]),0)</f>
        <v>2.2408000000000001E-4</v>
      </c>
      <c r="R14" s="97">
        <f>IF(R11&gt;0,R11*LOOKUP(R10,Explosives[[Molecule]:[Molecule]],Explosives[[Ar kgmol^-1]:[Ar kgmol^-1]]),0)</f>
        <v>2.402E-2</v>
      </c>
      <c r="S14" s="600"/>
      <c r="T14" s="600"/>
      <c r="U14" s="600"/>
      <c r="V14" s="601"/>
      <c r="W14" s="600"/>
      <c r="X14" s="604"/>
      <c r="Y14" s="599"/>
      <c r="Z14" s="610"/>
      <c r="AA14" s="612"/>
      <c r="AB14" s="599"/>
    </row>
    <row r="15" spans="2:28" ht="14.65" thickBot="1">
      <c r="J15" s="601">
        <v>3</v>
      </c>
      <c r="K15" s="603" t="s">
        <v>1535</v>
      </c>
      <c r="L15" s="601">
        <v>176</v>
      </c>
      <c r="M15" s="604">
        <f>LOOKUP(Explosive!$L15,Materials[[#All],[Refe-rence]],Materials[[#All],[Enthalpy Of Formation (kJ/mol)]])</f>
        <v>66.5</v>
      </c>
      <c r="N15" s="276" t="s">
        <v>826</v>
      </c>
      <c r="O15" s="276" t="s">
        <v>824</v>
      </c>
      <c r="P15" s="276" t="s">
        <v>823</v>
      </c>
      <c r="Q15" s="276" t="s">
        <v>825</v>
      </c>
      <c r="R15" s="276" t="s">
        <v>410</v>
      </c>
      <c r="S15" s="605">
        <f>N17+O17+P17+Q17+R17-M15</f>
        <v>-1512.7359999999999</v>
      </c>
      <c r="T15" s="605">
        <f>ABS(S15)/SUM(N18:R18)*1000+298</f>
        <v>4534.0454128064584</v>
      </c>
      <c r="U15" s="605">
        <f>8.314/(SUM(N19:Q19)/SUM(N16:Q16))</f>
        <v>305.70257962931998</v>
      </c>
      <c r="V15" s="601">
        <v>533</v>
      </c>
      <c r="W15" s="600">
        <f>ABS(S15/LOOKUP(L15,Material!A:A,Material!AO:AO))</f>
        <v>6.8105367891696718</v>
      </c>
      <c r="X15" s="604">
        <f>((U15*T15/(W15*1000000))+1)</f>
        <v>1.2035183748005869</v>
      </c>
      <c r="Y15" s="608">
        <f>1.01*((SUM(N16:Q16)/LOOKUP(L15,Material!A:A,Material!AO:AO))^0.5*(SUM(N19:Q19)*1000/SUM(N16:Q16))^0.25*(W15*238.846)^0.25*(1+1.3*LOOKUP(L15,Material!A:A,Material!H:H)/1000))*1000</f>
        <v>9067.2362925602865</v>
      </c>
      <c r="Z15" s="609">
        <f>W15/AA15*1000000*100</f>
        <v>254121.51329557819</v>
      </c>
      <c r="AA15" s="611">
        <f>(Y15/1000-1.98)/(1.453*LOOKUP(L15,Material!A:A,Material!H:H)/1000)*1000</f>
        <v>2680.0315726311937</v>
      </c>
      <c r="AB15" s="599">
        <f>1/3*Y15</f>
        <v>3022.4120975200954</v>
      </c>
    </row>
    <row r="16" spans="2:28" ht="14.65" thickBot="1">
      <c r="J16" s="601"/>
      <c r="K16" s="601"/>
      <c r="L16" s="601"/>
      <c r="M16" s="604"/>
      <c r="N16" s="96">
        <v>3</v>
      </c>
      <c r="O16" s="96">
        <v>3</v>
      </c>
      <c r="P16" s="96">
        <v>1.49</v>
      </c>
      <c r="Q16" s="96">
        <v>2.1999999999999999E-2</v>
      </c>
      <c r="R16" s="96">
        <v>1.49</v>
      </c>
      <c r="S16" s="600"/>
      <c r="T16" s="600"/>
      <c r="U16" s="600"/>
      <c r="V16" s="601"/>
      <c r="W16" s="600"/>
      <c r="X16" s="604"/>
      <c r="Y16" s="599"/>
      <c r="Z16" s="610"/>
      <c r="AA16" s="612"/>
      <c r="AB16" s="599"/>
    </row>
    <row r="17" spans="2:28" ht="14.65" thickBot="1">
      <c r="J17" s="601"/>
      <c r="K17" s="601"/>
      <c r="L17" s="601"/>
      <c r="M17" s="604"/>
      <c r="N17" s="96">
        <f>IF(N16&gt;0,LOOKUP(N15,Explosives[[Molecule]:[Molecule]],Explosives[[Hf kJmol^-1]:[Hf kJmol^-1]])*N16,0)</f>
        <v>0</v>
      </c>
      <c r="O17" s="96">
        <f>IF(O16&gt;0,LOOKUP(O15,Explosives[[Molecule]:[Molecule]],Explosives[[Hf kJmol^-1]:[Hf kJmol^-1]])*O16,0)</f>
        <v>-857.49</v>
      </c>
      <c r="P17" s="96">
        <f>IF(P16&gt;0,LOOKUP(P15,Explosives[[Molecule]:[Molecule]],Explosives[[Hf kJmol^-1]:[Hf kJmol^-1]])*P16,0)</f>
        <v>-586.31499999999994</v>
      </c>
      <c r="Q17" s="96">
        <f>IF(Q16&gt;0,LOOKUP(Q15,Explosives[[Molecule]:[Molecule]],Explosives[[Hf kJmol^-1]:[Hf kJmol^-1]])*Q16,0)</f>
        <v>-2.431</v>
      </c>
      <c r="R17" s="96">
        <f>IF(R16&gt;0,LOOKUP(R15,Explosives[[Molecule]:[Molecule]],Explosives[[Hf kJmol^-1]:[Hf kJmol^-1]])*R16,0)</f>
        <v>0</v>
      </c>
      <c r="S17" s="600"/>
      <c r="T17" s="600"/>
      <c r="U17" s="600"/>
      <c r="V17" s="601"/>
      <c r="W17" s="600"/>
      <c r="X17" s="604"/>
      <c r="Y17" s="599"/>
      <c r="Z17" s="610"/>
      <c r="AA17" s="612"/>
      <c r="AB17" s="599"/>
    </row>
    <row r="18" spans="2:28" ht="14.65" thickBot="1">
      <c r="B18" s="38"/>
      <c r="C18" s="38"/>
      <c r="D18" s="38"/>
      <c r="E18" s="38"/>
      <c r="J18" s="601"/>
      <c r="K18" s="601"/>
      <c r="L18" s="601"/>
      <c r="M18" s="604"/>
      <c r="N18" s="97">
        <f>IF(N16&gt;0,LOOKUP(N15,Explosives[[Molecule]:[Molecule]],Explosives[[Cv Jmol^-1K^-1]:[Cv Jmol^-1K^-1]])*N16,0)</f>
        <v>124.84351028571427</v>
      </c>
      <c r="O18" s="97">
        <f>IF(O16&gt;0,LOOKUP(O15,Explosives[[Molecule]:[Molecule]],Explosives[[Cv Jmol^-1K^-1]:[Cv Jmol^-1K^-1]])*O16,0)</f>
        <v>170.02566135338338</v>
      </c>
      <c r="P18" s="97">
        <f>IF(P16&gt;0,LOOKUP(P15,Explosives[[Molecule]:[Molecule]],Explosives[[Cv Jmol^-1K^-1]:[Cv Jmol^-1K^-1]])*P16,0)</f>
        <v>43.227435153515621</v>
      </c>
      <c r="Q18" s="97">
        <f>IF(Q16&gt;0,LOOKUP(Q15,Explosives[[Molecule]:[Molecule]],Explosives[[Cv Jmol^-1K^-1]:[Cv Jmol^-1K^-1]])*Q16,0)</f>
        <v>0.45728365728571435</v>
      </c>
      <c r="R18" s="97">
        <f>IF(R16&gt;0,LOOKUP(R15,Explosives[[Molecule]:[Molecule]],Explosives[[Cv Jmol^-1K^-1]:[Cv Jmol^-1K^-1]])*R16,0)</f>
        <v>18.556539817604794</v>
      </c>
      <c r="S18" s="600"/>
      <c r="T18" s="600"/>
      <c r="U18" s="600"/>
      <c r="V18" s="601"/>
      <c r="W18" s="600"/>
      <c r="X18" s="604"/>
      <c r="Y18" s="599"/>
      <c r="Z18" s="610"/>
      <c r="AA18" s="612"/>
      <c r="AB18" s="599"/>
    </row>
    <row r="19" spans="2:28" ht="14.65" thickBot="1">
      <c r="B19" s="38"/>
      <c r="C19" s="38"/>
      <c r="D19" s="38"/>
      <c r="E19" s="38"/>
      <c r="J19" s="601"/>
      <c r="K19" s="601"/>
      <c r="L19" s="601"/>
      <c r="M19" s="604"/>
      <c r="N19" s="97">
        <f>IF(N16&gt;0,N16*LOOKUP(N15,Explosives[[Molecule]:[Molecule]],Explosives[[Ar kgmol^-1]:[Ar kgmol^-1]]),0)</f>
        <v>8.4059999999999996E-2</v>
      </c>
      <c r="O19" s="97">
        <f>IF(O16&gt;0,O16*LOOKUP(O15,Explosives[[Molecule]:[Molecule]],Explosives[[Ar kgmol^-1]:[Ar kgmol^-1]]),0)</f>
        <v>5.4047999999999992E-2</v>
      </c>
      <c r="P19" s="97">
        <f>IF(P16&gt;0,P16*LOOKUP(P15,Explosives[[Molecule]:[Molecule]],Explosives[[Ar kgmol^-1]:[Ar kgmol^-1]]),0)</f>
        <v>6.5574900000000005E-2</v>
      </c>
      <c r="Q19" s="97">
        <f>IF(Q16&gt;0,Q16*LOOKUP(Q15,Explosives[[Molecule]:[Molecule]],Explosives[[Ar kgmol^-1]:[Ar kgmol^-1]]),0)</f>
        <v>6.1622000000000001E-4</v>
      </c>
      <c r="R19" s="97">
        <f>IF(R16&gt;0,R16*LOOKUP(R15,Explosives[[Molecule]:[Molecule]],Explosives[[Ar kgmol^-1]:[Ar kgmol^-1]]),0)</f>
        <v>1.7894899999999998E-2</v>
      </c>
      <c r="S19" s="600"/>
      <c r="T19" s="600"/>
      <c r="U19" s="600"/>
      <c r="V19" s="601"/>
      <c r="W19" s="600"/>
      <c r="X19" s="604"/>
      <c r="Y19" s="599"/>
      <c r="Z19" s="610"/>
      <c r="AA19" s="612"/>
      <c r="AB19" s="599"/>
    </row>
    <row r="20" spans="2:28" ht="14.65" thickBot="1">
      <c r="J20" s="601">
        <v>4</v>
      </c>
      <c r="K20" s="601" t="s">
        <v>1538</v>
      </c>
      <c r="L20" s="601">
        <v>177</v>
      </c>
      <c r="M20" s="604">
        <f>LOOKUP(Explosive!$L20,Materials[[#All],[Refe-rence]],Materials[[#All],[Enthalpy Of Formation (kJ/mol)]])</f>
        <v>-364</v>
      </c>
      <c r="N20" s="276" t="s">
        <v>823</v>
      </c>
      <c r="O20" s="276" t="s">
        <v>824</v>
      </c>
      <c r="P20" s="276" t="s">
        <v>826</v>
      </c>
      <c r="Q20" s="276" t="s">
        <v>827</v>
      </c>
      <c r="R20" s="276" t="s">
        <v>410</v>
      </c>
      <c r="S20" s="605">
        <f>N22+O22+P22+Q22+R22-M20</f>
        <v>-1235.9499999999998</v>
      </c>
      <c r="T20" s="605">
        <f>ABS(S20)/SUM(N23:R23)*1000+298</f>
        <v>4495.7786408419379</v>
      </c>
      <c r="U20" s="605">
        <f>8.314/(SUM(N24:Q24)/SUM(N21:Q21))</f>
        <v>277.01131644394729</v>
      </c>
      <c r="V20" s="601">
        <v>343</v>
      </c>
      <c r="W20" s="600">
        <f>ABS(S20/LOOKUP(L20,Material!A:A,Material!AO:AO))</f>
        <v>5.4426756500869704</v>
      </c>
      <c r="X20" s="604">
        <f>((U20*T20/(W20*1000000))+1)</f>
        <v>1.2288178902816493</v>
      </c>
      <c r="Y20" s="608">
        <f>1.01*((SUM(N21:Q21)/LOOKUP(L20,Material!A:A,Material!AO:AO))^0.5*(SUM(N24:Q24)*1000/SUM(N21:Q21))^0.25*(W20*238.846)^0.25*(1+1.3*LOOKUP(L20,Material!A:A,Material!H:H)/1000))*1000</f>
        <v>7676.0469090763499</v>
      </c>
      <c r="Z20" s="609">
        <f>W20/AA20*1000000*100</f>
        <v>222138.8368687781</v>
      </c>
      <c r="AA20" s="611">
        <f>(Y20/1000-1.98)/(1.453*LOOKUP(L20,Material!A:A,Material!H:H)/1000)*1000</f>
        <v>2450.1234123693862</v>
      </c>
      <c r="AB20" s="599">
        <f>1/3*Y20</f>
        <v>2558.68230302545</v>
      </c>
    </row>
    <row r="21" spans="2:28" ht="14.65" thickBot="1">
      <c r="J21" s="601"/>
      <c r="K21" s="601"/>
      <c r="L21" s="601"/>
      <c r="M21" s="604"/>
      <c r="N21" s="96">
        <v>2.25</v>
      </c>
      <c r="O21" s="96">
        <v>2.5</v>
      </c>
      <c r="P21" s="96">
        <v>1.5</v>
      </c>
      <c r="Q21" s="96">
        <v>0.75</v>
      </c>
      <c r="R21" s="96">
        <v>0.75</v>
      </c>
      <c r="S21" s="600"/>
      <c r="T21" s="600"/>
      <c r="U21" s="600"/>
      <c r="V21" s="601"/>
      <c r="W21" s="600"/>
      <c r="X21" s="604"/>
      <c r="Y21" s="599"/>
      <c r="Z21" s="610"/>
      <c r="AA21" s="612"/>
      <c r="AB21" s="599"/>
    </row>
    <row r="22" spans="2:28" ht="14.65" thickBot="1">
      <c r="J22" s="601"/>
      <c r="K22" s="601"/>
      <c r="L22" s="601"/>
      <c r="M22" s="604"/>
      <c r="N22" s="96">
        <f>IF(N21&gt;0,LOOKUP(N20,Explosives[[Molecule]:[Molecule]],Explosives[[Hf kJmol^-1]:[Hf kJmol^-1]])*N21,0)</f>
        <v>-885.375</v>
      </c>
      <c r="O22" s="96">
        <f>IF(O21&gt;0,LOOKUP(O20,Explosives[[Molecule]:[Molecule]],Explosives[[Hf kJmol^-1]:[Hf kJmol^-1]])*O21,0)</f>
        <v>-714.57499999999993</v>
      </c>
      <c r="P22" s="96">
        <f>IF(P21&gt;0,LOOKUP(P20,Explosives[[Molecule]:[Molecule]],Explosives[[Hf kJmol^-1]:[Hf kJmol^-1]])*P21,0)</f>
        <v>0</v>
      </c>
      <c r="Q22" s="96">
        <f>IF(Q21&gt;0,LOOKUP(Q20,Explosives[[Molecule]:[Molecule]],Explosives[[Hf kJmol^-1]:[Hf kJmol^-1]])*Q21,0)</f>
        <v>0</v>
      </c>
      <c r="R22" s="96">
        <f>IF(R21&gt;0,LOOKUP(R20,Explosives[[Molecule]:[Molecule]],Explosives[[Hf kJmol^-1]:[Hf kJmol^-1]])*R21,0)</f>
        <v>0</v>
      </c>
      <c r="S22" s="600"/>
      <c r="T22" s="600"/>
      <c r="U22" s="600"/>
      <c r="V22" s="601"/>
      <c r="W22" s="600"/>
      <c r="X22" s="604"/>
      <c r="Y22" s="599"/>
      <c r="Z22" s="610"/>
      <c r="AA22" s="612"/>
      <c r="AB22" s="599"/>
    </row>
    <row r="23" spans="2:28" ht="14.65" thickBot="1">
      <c r="J23" s="601"/>
      <c r="K23" s="601"/>
      <c r="L23" s="601"/>
      <c r="M23" s="604"/>
      <c r="N23" s="97">
        <f>IF(N21&gt;0,LOOKUP(N20,Explosives[[Molecule]:[Molecule]],Explosives[[Cv Jmol^-1K^-1]:[Cv Jmol^-1K^-1]])*N21,0)</f>
        <v>65.276328251953117</v>
      </c>
      <c r="O23" s="97">
        <f>IF(O21&gt;0,LOOKUP(O20,Explosives[[Molecule]:[Molecule]],Explosives[[Cv Jmol^-1K^-1]:[Cv Jmol^-1K^-1]])*O21,0)</f>
        <v>141.68805112781951</v>
      </c>
      <c r="P23" s="97">
        <f>IF(P21&gt;0,LOOKUP(P20,Explosives[[Molecule]:[Molecule]],Explosives[[Cv Jmol^-1K^-1]:[Cv Jmol^-1K^-1]])*P21,0)</f>
        <v>62.421755142857137</v>
      </c>
      <c r="Q23" s="97">
        <f>IF(Q21&gt;0,LOOKUP(Q20,Explosives[[Molecule]:[Molecule]],Explosives[[Cv Jmol^-1K^-1]:[Cv Jmol^-1K^-1]])*Q21,0)</f>
        <v>15.702857142857145</v>
      </c>
      <c r="R23" s="97">
        <f>IF(R21&gt;0,LOOKUP(R20,Explosives[[Molecule]:[Molecule]],Explosives[[Cv Jmol^-1K^-1]:[Cv Jmol^-1K^-1]])*R21,0)</f>
        <v>9.3405401766467069</v>
      </c>
      <c r="S23" s="600"/>
      <c r="T23" s="600"/>
      <c r="U23" s="600"/>
      <c r="V23" s="601"/>
      <c r="W23" s="600"/>
      <c r="X23" s="604"/>
      <c r="Y23" s="599"/>
      <c r="Z23" s="610"/>
      <c r="AA23" s="612"/>
      <c r="AB23" s="599"/>
    </row>
    <row r="24" spans="2:28" ht="14.65" thickBot="1">
      <c r="J24" s="601"/>
      <c r="K24" s="601"/>
      <c r="L24" s="601"/>
      <c r="M24" s="604"/>
      <c r="N24" s="97">
        <f>IF(N21&gt;0,N21*LOOKUP(N20,Explosives[[Molecule]:[Molecule]],Explosives[[Ar kgmol^-1]:[Ar kgmol^-1]]),0)</f>
        <v>9.9022499999999999E-2</v>
      </c>
      <c r="O24" s="97">
        <f>IF(O21&gt;0,O21*LOOKUP(O20,Explosives[[Molecule]:[Molecule]],Explosives[[Ar kgmol^-1]:[Ar kgmol^-1]]),0)</f>
        <v>4.5039999999999997E-2</v>
      </c>
      <c r="P24" s="97">
        <f>IF(P21&gt;0,P21*LOOKUP(P20,Explosives[[Molecule]:[Molecule]],Explosives[[Ar kgmol^-1]:[Ar kgmol^-1]]),0)</f>
        <v>4.2029999999999998E-2</v>
      </c>
      <c r="Q24" s="97">
        <f>IF(Q21&gt;0,Q21*LOOKUP(Q20,Explosives[[Molecule]:[Molecule]],Explosives[[Ar kgmol^-1]:[Ar kgmol^-1]]),0)</f>
        <v>2.4E-2</v>
      </c>
      <c r="R24" s="97">
        <f>IF(R21&gt;0,R21*LOOKUP(R20,Explosives[[Molecule]:[Molecule]],Explosives[[Ar kgmol^-1]:[Ar kgmol^-1]]),0)</f>
        <v>9.0074999999999999E-3</v>
      </c>
      <c r="S24" s="600"/>
      <c r="T24" s="600"/>
      <c r="U24" s="600"/>
      <c r="V24" s="601"/>
      <c r="W24" s="600"/>
      <c r="X24" s="604"/>
      <c r="Y24" s="599"/>
      <c r="Z24" s="610"/>
      <c r="AA24" s="612"/>
      <c r="AB24" s="599"/>
    </row>
    <row r="25" spans="2:28" ht="14.65" thickBot="1">
      <c r="J25" s="601">
        <v>5</v>
      </c>
      <c r="K25" s="601" t="s">
        <v>221</v>
      </c>
      <c r="L25" s="601">
        <v>179</v>
      </c>
      <c r="M25" s="604">
        <f>LOOKUP(Explosive!$L25,Materials[[#All],[Refe-rence]],Materials[[#All],[Enthalpy Of Formation (kJ/mol)]])</f>
        <v>-65.5</v>
      </c>
      <c r="N25" s="276" t="s">
        <v>826</v>
      </c>
      <c r="O25" s="276" t="s">
        <v>824</v>
      </c>
      <c r="P25" s="276" t="s">
        <v>823</v>
      </c>
      <c r="Q25" s="276" t="s">
        <v>825</v>
      </c>
      <c r="R25" s="276" t="s">
        <v>410</v>
      </c>
      <c r="S25" s="605">
        <f>N27+O27+P27+Q27+R27-M25</f>
        <v>-1323.0589999999997</v>
      </c>
      <c r="T25" s="605">
        <f>ABS(S25)/SUM(N28:R28)*1000+298</f>
        <v>4428.4895100107951</v>
      </c>
      <c r="U25" s="605">
        <f>8.314/(SUM(N29:Q29)/SUM(N26:Q26))</f>
        <v>293.96906074568807</v>
      </c>
      <c r="V25" s="601">
        <v>343</v>
      </c>
      <c r="W25" s="600">
        <f>ABS(S25/LOOKUP(L25,Material!A:A,Material!AO:AO))</f>
        <v>5.8250664811651358</v>
      </c>
      <c r="X25" s="604">
        <f>((U25*T25/(W25*1000000))+1)</f>
        <v>1.2234891062598843</v>
      </c>
      <c r="Y25" s="608">
        <f>1.01*((SUM(N26:Q26)/LOOKUP(L25,Material!A:A,Material!AO:AO))^0.5*(SUM(N29:Q29)*1000/SUM(N26:Q26))^0.25*(W25*238.846)^0.25*(1+1.3*LOOKUP(L25,Material!A:A,Material!H:H)/1000))*1000</f>
        <v>7190.4460799722901</v>
      </c>
      <c r="Z25" s="609">
        <f>W25/AA25*1000000*100</f>
        <v>268674.90243239095</v>
      </c>
      <c r="AA25" s="611">
        <f>(Y25/1000-1.98)/(1.453*LOOKUP(L25,Material!A:A,Material!H:H)/1000)*1000</f>
        <v>2168.0724282131073</v>
      </c>
      <c r="AB25" s="599">
        <f>1/3*Y25</f>
        <v>2396.8153599907632</v>
      </c>
    </row>
    <row r="26" spans="2:28" ht="14.65" thickBot="1">
      <c r="J26" s="601"/>
      <c r="K26" s="601"/>
      <c r="L26" s="601"/>
      <c r="M26" s="604"/>
      <c r="N26" s="96">
        <v>1.5</v>
      </c>
      <c r="O26" s="96">
        <v>2.5</v>
      </c>
      <c r="P26" s="96">
        <v>1.66</v>
      </c>
      <c r="Q26" s="96">
        <v>0.188</v>
      </c>
      <c r="R26" s="96">
        <v>5.15</v>
      </c>
      <c r="S26" s="600"/>
      <c r="T26" s="600"/>
      <c r="U26" s="600"/>
      <c r="V26" s="601"/>
      <c r="W26" s="600"/>
      <c r="X26" s="604"/>
      <c r="Y26" s="599"/>
      <c r="Z26" s="610"/>
      <c r="AA26" s="612"/>
      <c r="AB26" s="599"/>
    </row>
    <row r="27" spans="2:28" ht="14.65" thickBot="1">
      <c r="J27" s="601"/>
      <c r="K27" s="601"/>
      <c r="L27" s="601"/>
      <c r="M27" s="604"/>
      <c r="N27" s="96">
        <f>IF(N26&gt;0,LOOKUP(N25,Explosives[[Molecule]:[Molecule]],Explosives[[Hf kJmol^-1]:[Hf kJmol^-1]])*N26,0)</f>
        <v>0</v>
      </c>
      <c r="O27" s="96">
        <f>IF(O26&gt;0,LOOKUP(O25,Explosives[[Molecule]:[Molecule]],Explosives[[Hf kJmol^-1]:[Hf kJmol^-1]])*O26,0)</f>
        <v>-714.57499999999993</v>
      </c>
      <c r="P27" s="96">
        <f>IF(P26&gt;0,LOOKUP(P25,Explosives[[Molecule]:[Molecule]],Explosives[[Hf kJmol^-1]:[Hf kJmol^-1]])*P26,0)</f>
        <v>-653.20999999999992</v>
      </c>
      <c r="Q27" s="96">
        <f>IF(Q26&gt;0,LOOKUP(Q25,Explosives[[Molecule]:[Molecule]],Explosives[[Hf kJmol^-1]:[Hf kJmol^-1]])*Q26,0)</f>
        <v>-20.774000000000001</v>
      </c>
      <c r="R27" s="96">
        <f>IF(R26&gt;0,LOOKUP(R25,Explosives[[Molecule]:[Molecule]],Explosives[[Hf kJmol^-1]:[Hf kJmol^-1]])*R26,0)</f>
        <v>0</v>
      </c>
      <c r="S27" s="600"/>
      <c r="T27" s="600"/>
      <c r="U27" s="600"/>
      <c r="V27" s="601"/>
      <c r="W27" s="600"/>
      <c r="X27" s="604"/>
      <c r="Y27" s="599"/>
      <c r="Z27" s="610"/>
      <c r="AA27" s="612"/>
      <c r="AB27" s="599"/>
    </row>
    <row r="28" spans="2:28" ht="14.65" thickBot="1">
      <c r="J28" s="601"/>
      <c r="K28" s="601"/>
      <c r="L28" s="601"/>
      <c r="M28" s="604"/>
      <c r="N28" s="97">
        <f>IF(N26&gt;0,LOOKUP(N25,Explosives[[Molecule]:[Molecule]],Explosives[[Cv Jmol^-1K^-1]:[Cv Jmol^-1K^-1]])*N26,0)</f>
        <v>62.421755142857137</v>
      </c>
      <c r="O28" s="97">
        <f>IF(O26&gt;0,LOOKUP(O25,Explosives[[Molecule]:[Molecule]],Explosives[[Cv Jmol^-1K^-1]:[Cv Jmol^-1K^-1]])*O26,0)</f>
        <v>141.68805112781951</v>
      </c>
      <c r="P28" s="97">
        <f>IF(P26&gt;0,LOOKUP(P25,Explosives[[Molecule]:[Molecule]],Explosives[[Cv Jmol^-1K^-1]:[Cv Jmol^-1K^-1]])*P26,0)</f>
        <v>48.159424399218743</v>
      </c>
      <c r="Q28" s="97">
        <f>IF(Q26&gt;0,LOOKUP(Q25,Explosives[[Molecule]:[Molecule]],Explosives[[Cv Jmol^-1K^-1]:[Cv Jmol^-1K^-1]])*Q26,0)</f>
        <v>3.9076967077142863</v>
      </c>
      <c r="R28" s="97">
        <f>IF(R26&gt;0,LOOKUP(R25,Explosives[[Molecule]:[Molecule]],Explosives[[Cv Jmol^-1K^-1]:[Cv Jmol^-1K^-1]])*R26,0)</f>
        <v>64.138375879640734</v>
      </c>
      <c r="S28" s="600"/>
      <c r="T28" s="600"/>
      <c r="U28" s="600"/>
      <c r="V28" s="601"/>
      <c r="W28" s="600"/>
      <c r="X28" s="604"/>
      <c r="Y28" s="599"/>
      <c r="Z28" s="610"/>
      <c r="AA28" s="612"/>
      <c r="AB28" s="599"/>
    </row>
    <row r="29" spans="2:28" ht="14.65" thickBot="1">
      <c r="J29" s="601"/>
      <c r="K29" s="601"/>
      <c r="L29" s="601"/>
      <c r="M29" s="604"/>
      <c r="N29" s="97">
        <f>IF(N26&gt;0,N26*LOOKUP(N25,Explosives[[Molecule]:[Molecule]],Explosives[[Ar kgmol^-1]:[Ar kgmol^-1]]),0)</f>
        <v>4.2029999999999998E-2</v>
      </c>
      <c r="O29" s="97">
        <f>IF(O26&gt;0,O26*LOOKUP(O25,Explosives[[Molecule]:[Molecule]],Explosives[[Ar kgmol^-1]:[Ar kgmol^-1]]),0)</f>
        <v>4.5039999999999997E-2</v>
      </c>
      <c r="P29" s="97">
        <f>IF(P26&gt;0,P26*LOOKUP(P25,Explosives[[Molecule]:[Molecule]],Explosives[[Ar kgmol^-1]:[Ar kgmol^-1]]),0)</f>
        <v>7.3056599999999999E-2</v>
      </c>
      <c r="Q29" s="97">
        <f>IF(Q26&gt;0,Q26*LOOKUP(Q25,Explosives[[Molecule]:[Molecule]],Explosives[[Ar kgmol^-1]:[Ar kgmol^-1]]),0)</f>
        <v>5.2658799999999997E-3</v>
      </c>
      <c r="R29" s="97">
        <f>IF(R26&gt;0,R26*LOOKUP(R25,Explosives[[Molecule]:[Molecule]],Explosives[[Ar kgmol^-1]:[Ar kgmol^-1]]),0)</f>
        <v>6.1851500000000004E-2</v>
      </c>
      <c r="S29" s="600"/>
      <c r="T29" s="600"/>
      <c r="U29" s="600"/>
      <c r="V29" s="601"/>
      <c r="W29" s="600"/>
      <c r="X29" s="604"/>
      <c r="Y29" s="599"/>
      <c r="Z29" s="610"/>
      <c r="AA29" s="612"/>
      <c r="AB29" s="599"/>
    </row>
  </sheetData>
  <mergeCells count="71">
    <mergeCell ref="AA5:AA9"/>
    <mergeCell ref="AA10:AA14"/>
    <mergeCell ref="AA15:AA19"/>
    <mergeCell ref="AA20:AA24"/>
    <mergeCell ref="AA25:AA29"/>
    <mergeCell ref="J25:J29"/>
    <mergeCell ref="K25:K29"/>
    <mergeCell ref="L25:L29"/>
    <mergeCell ref="M25:M29"/>
    <mergeCell ref="S25:S29"/>
    <mergeCell ref="T25:T29"/>
    <mergeCell ref="U25:U29"/>
    <mergeCell ref="V25:V29"/>
    <mergeCell ref="W25:W29"/>
    <mergeCell ref="X25:X29"/>
    <mergeCell ref="Y25:Y29"/>
    <mergeCell ref="Z25:Z29"/>
    <mergeCell ref="Z5:Z9"/>
    <mergeCell ref="Z10:Z14"/>
    <mergeCell ref="Z15:Z19"/>
    <mergeCell ref="Z20:Z24"/>
    <mergeCell ref="X5:X9"/>
    <mergeCell ref="X10:X14"/>
    <mergeCell ref="X15:X19"/>
    <mergeCell ref="X20:X24"/>
    <mergeCell ref="Y5:Y9"/>
    <mergeCell ref="Y10:Y14"/>
    <mergeCell ref="Y15:Y19"/>
    <mergeCell ref="Y20:Y24"/>
    <mergeCell ref="T5:T9"/>
    <mergeCell ref="U5:U9"/>
    <mergeCell ref="V5:V9"/>
    <mergeCell ref="W5:W9"/>
    <mergeCell ref="J5:J9"/>
    <mergeCell ref="K5:K9"/>
    <mergeCell ref="L5:L9"/>
    <mergeCell ref="M5:M9"/>
    <mergeCell ref="S5:S9"/>
    <mergeCell ref="T20:T24"/>
    <mergeCell ref="U20:U24"/>
    <mergeCell ref="J20:J24"/>
    <mergeCell ref="K20:K24"/>
    <mergeCell ref="L20:L24"/>
    <mergeCell ref="M20:M24"/>
    <mergeCell ref="S20:S24"/>
    <mergeCell ref="U10:U14"/>
    <mergeCell ref="J15:J19"/>
    <mergeCell ref="K15:K19"/>
    <mergeCell ref="L15:L19"/>
    <mergeCell ref="M15:M19"/>
    <mergeCell ref="S15:S19"/>
    <mergeCell ref="T15:T19"/>
    <mergeCell ref="U15:U19"/>
    <mergeCell ref="S10:S14"/>
    <mergeCell ref="T10:T14"/>
    <mergeCell ref="N4:Q4"/>
    <mergeCell ref="J10:J14"/>
    <mergeCell ref="K10:K14"/>
    <mergeCell ref="L10:L14"/>
    <mergeCell ref="M10:M14"/>
    <mergeCell ref="W10:W14"/>
    <mergeCell ref="W15:W19"/>
    <mergeCell ref="W20:W24"/>
    <mergeCell ref="V10:V14"/>
    <mergeCell ref="V15:V19"/>
    <mergeCell ref="V20:V24"/>
    <mergeCell ref="AB5:AB9"/>
    <mergeCell ref="AB10:AB14"/>
    <mergeCell ref="AB15:AB19"/>
    <mergeCell ref="AB20:AB24"/>
    <mergeCell ref="AB25:AB29"/>
  </mergeCells>
  <phoneticPr fontId="12" type="noConversion"/>
  <pageMargins left="0.7" right="0.7" top="0.75" bottom="0.75" header="0.3" footer="0.3"/>
  <pageSetup paperSize="9" orientation="portrait" r:id="rId1"/>
  <ignoredErrors>
    <ignoredError sqref="U25" formulaRange="1"/>
  </ignoredErrors>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85713-C639-49F6-977E-F71169D07AAB}">
  <sheetPr codeName="Sheet8">
    <tabColor theme="1"/>
  </sheetPr>
  <dimension ref="A1:AA114"/>
  <sheetViews>
    <sheetView workbookViewId="0"/>
  </sheetViews>
  <sheetFormatPr defaultRowHeight="14.25"/>
  <cols>
    <col min="2" max="2" width="24.9296875" customWidth="1"/>
    <col min="3" max="3" width="11.46484375" customWidth="1"/>
    <col min="4" max="4" width="11.33203125" style="242" bestFit="1" customWidth="1"/>
    <col min="5" max="5" width="9.19921875" style="1" customWidth="1"/>
    <col min="6" max="6" width="7.59765625" style="257" customWidth="1"/>
    <col min="7" max="7" width="11.9296875" style="1" customWidth="1"/>
    <col min="8" max="8" width="12.06640625" style="167" customWidth="1"/>
    <col min="9" max="9" width="10.1328125" customWidth="1"/>
    <col min="10" max="10" width="11.06640625" bestFit="1" customWidth="1"/>
    <col min="11" max="11" width="13.06640625" bestFit="1" customWidth="1"/>
    <col min="12" max="12" width="8.796875" customWidth="1"/>
    <col min="13" max="14" width="9.06640625" style="248"/>
    <col min="15" max="15" width="39.53125" style="242" customWidth="1"/>
    <col min="16" max="16" width="9.06640625" style="242"/>
    <col min="17" max="17" width="13.86328125" customWidth="1"/>
  </cols>
  <sheetData>
    <row r="1" spans="1:27" ht="46.9" customHeight="1">
      <c r="A1" s="240" t="s">
        <v>1379</v>
      </c>
      <c r="B1" s="241" t="s">
        <v>1241</v>
      </c>
      <c r="C1" s="241" t="s">
        <v>1242</v>
      </c>
      <c r="D1" s="240" t="s">
        <v>838</v>
      </c>
      <c r="E1" s="245" t="s">
        <v>1483</v>
      </c>
      <c r="F1" s="256" t="s">
        <v>1484</v>
      </c>
      <c r="G1" s="245" t="s">
        <v>1377</v>
      </c>
      <c r="H1" s="246" t="s">
        <v>1373</v>
      </c>
      <c r="I1" s="240" t="s">
        <v>1374</v>
      </c>
      <c r="J1" s="240" t="s">
        <v>1375</v>
      </c>
      <c r="K1" s="240" t="s">
        <v>1376</v>
      </c>
      <c r="L1" s="241" t="s">
        <v>1243</v>
      </c>
      <c r="M1" s="247" t="s">
        <v>742</v>
      </c>
      <c r="N1" s="251" t="s">
        <v>1407</v>
      </c>
      <c r="O1" s="241" t="s">
        <v>736</v>
      </c>
      <c r="P1" s="241"/>
      <c r="Q1" s="616" t="s">
        <v>1378</v>
      </c>
      <c r="R1" s="616"/>
      <c r="S1" s="616"/>
      <c r="T1" s="616"/>
      <c r="U1" s="616"/>
      <c r="V1" s="616"/>
    </row>
    <row r="2" spans="1:27">
      <c r="A2" s="167">
        <v>1</v>
      </c>
      <c r="B2" s="242" t="s">
        <v>1244</v>
      </c>
      <c r="C2" s="242" t="s">
        <v>1245</v>
      </c>
      <c r="D2" s="242" t="s">
        <v>150</v>
      </c>
      <c r="E2" s="1">
        <v>2942</v>
      </c>
      <c r="F2" s="257">
        <v>5.0799999999999998E-2</v>
      </c>
      <c r="G2" s="172">
        <v>1.37E-6</v>
      </c>
      <c r="H2" s="167">
        <v>30411</v>
      </c>
      <c r="I2" s="167">
        <v>3100</v>
      </c>
      <c r="J2" s="172">
        <v>9.0000000000000006E-5</v>
      </c>
      <c r="K2" s="398">
        <v>26</v>
      </c>
      <c r="L2" s="172">
        <v>3.5999999999999999E-7</v>
      </c>
      <c r="M2" s="248">
        <v>0.67</v>
      </c>
      <c r="N2" s="1"/>
      <c r="O2" s="134"/>
      <c r="P2" s="172"/>
      <c r="Q2" s="616"/>
      <c r="R2" s="616"/>
      <c r="S2" s="616"/>
      <c r="T2" s="616"/>
      <c r="U2" s="616"/>
      <c r="V2" s="616"/>
    </row>
    <row r="3" spans="1:27">
      <c r="A3" s="167">
        <v>2</v>
      </c>
      <c r="B3" s="242" t="s">
        <v>1251</v>
      </c>
      <c r="C3" s="242" t="s">
        <v>1249</v>
      </c>
      <c r="D3" s="242" t="s">
        <v>148</v>
      </c>
      <c r="E3" s="1">
        <v>1395.4</v>
      </c>
      <c r="F3" s="257">
        <v>5.0799999999999998E-2</v>
      </c>
      <c r="G3" s="1">
        <v>5.9</v>
      </c>
      <c r="H3" s="167">
        <v>29000</v>
      </c>
      <c r="I3" s="167">
        <v>2956</v>
      </c>
      <c r="J3" s="398">
        <v>400</v>
      </c>
      <c r="K3" s="167">
        <v>10000</v>
      </c>
      <c r="L3" s="253">
        <v>4.0000000000000001E-3</v>
      </c>
      <c r="M3" s="248">
        <v>0.65</v>
      </c>
      <c r="N3" s="1"/>
      <c r="O3" s="134"/>
    </row>
    <row r="4" spans="1:27" s="260" customFormat="1">
      <c r="A4" s="167">
        <v>3</v>
      </c>
      <c r="B4" s="260" t="s">
        <v>1252</v>
      </c>
      <c r="C4" s="260" t="s">
        <v>1249</v>
      </c>
      <c r="D4" s="260" t="s">
        <v>148</v>
      </c>
      <c r="E4" s="1">
        <v>1395.4</v>
      </c>
      <c r="F4" s="257">
        <v>5.0999999999999997E-2</v>
      </c>
      <c r="G4" s="1">
        <v>5.9</v>
      </c>
      <c r="H4" s="167">
        <v>294000</v>
      </c>
      <c r="I4" s="167">
        <v>29969</v>
      </c>
      <c r="J4" s="398">
        <v>40</v>
      </c>
      <c r="K4" s="167">
        <v>10000</v>
      </c>
      <c r="L4" s="172">
        <v>4.08E-4</v>
      </c>
      <c r="M4" s="248">
        <v>0.65</v>
      </c>
      <c r="N4" s="1"/>
      <c r="O4" s="134"/>
    </row>
    <row r="5" spans="1:27">
      <c r="A5" s="167">
        <v>4</v>
      </c>
      <c r="B5" s="242" t="s">
        <v>1253</v>
      </c>
      <c r="C5" s="242" t="s">
        <v>1249</v>
      </c>
      <c r="D5" s="242" t="s">
        <v>148</v>
      </c>
      <c r="E5" s="1">
        <v>1395.4</v>
      </c>
      <c r="F5" s="257">
        <v>5.0999999999999997E-2</v>
      </c>
      <c r="G5" s="1">
        <v>5.8</v>
      </c>
      <c r="H5" s="167">
        <v>147000</v>
      </c>
      <c r="I5" s="167">
        <v>14985</v>
      </c>
      <c r="J5" s="398">
        <v>80</v>
      </c>
      <c r="K5" s="167">
        <v>10000</v>
      </c>
      <c r="L5" s="172">
        <v>8.1499999999999997E-4</v>
      </c>
      <c r="M5" s="248">
        <v>0.65</v>
      </c>
      <c r="N5" s="1"/>
      <c r="O5" s="134"/>
      <c r="P5" s="172"/>
    </row>
    <row r="6" spans="1:27">
      <c r="A6" s="167">
        <v>5</v>
      </c>
      <c r="B6" s="242" t="s">
        <v>1254</v>
      </c>
      <c r="C6" s="242" t="s">
        <v>1255</v>
      </c>
      <c r="D6" s="242" t="s">
        <v>1391</v>
      </c>
      <c r="E6" s="1">
        <v>1158</v>
      </c>
      <c r="F6" s="257">
        <v>0.1111</v>
      </c>
      <c r="G6" s="1">
        <v>6</v>
      </c>
      <c r="H6" s="167">
        <v>3100</v>
      </c>
      <c r="I6" s="398">
        <v>316</v>
      </c>
      <c r="J6" s="167">
        <v>3870</v>
      </c>
      <c r="K6" s="398">
        <v>4</v>
      </c>
      <c r="L6" s="253">
        <v>106.62</v>
      </c>
      <c r="N6" s="1"/>
      <c r="O6" s="134" t="s">
        <v>1487</v>
      </c>
      <c r="Q6" s="254"/>
      <c r="R6" s="254"/>
      <c r="S6" s="254"/>
      <c r="T6" s="254"/>
      <c r="U6" s="254"/>
      <c r="V6" s="254"/>
      <c r="W6" s="254"/>
      <c r="X6" s="254"/>
      <c r="Y6" s="254"/>
      <c r="Z6" s="254"/>
      <c r="AA6" s="254"/>
    </row>
    <row r="7" spans="1:27">
      <c r="A7" s="167">
        <v>6</v>
      </c>
      <c r="B7" s="242" t="s">
        <v>1256</v>
      </c>
      <c r="C7" s="242" t="s">
        <v>1257</v>
      </c>
      <c r="D7" s="242" t="s">
        <v>1380</v>
      </c>
      <c r="E7" s="1">
        <v>70.849999999999994</v>
      </c>
      <c r="F7" s="257">
        <v>0.128</v>
      </c>
      <c r="G7" s="1">
        <v>12.8</v>
      </c>
      <c r="H7" s="167">
        <v>9810</v>
      </c>
      <c r="I7" s="167">
        <v>1000</v>
      </c>
      <c r="J7" s="167">
        <v>2600</v>
      </c>
      <c r="K7" s="167">
        <v>20977</v>
      </c>
      <c r="L7" s="242">
        <v>1.2999999999999999E-2</v>
      </c>
      <c r="M7" s="248">
        <v>0.87</v>
      </c>
      <c r="N7" s="1"/>
      <c r="O7" s="134" t="s">
        <v>1382</v>
      </c>
      <c r="Q7" s="617" t="s">
        <v>1435</v>
      </c>
      <c r="R7" s="617" t="s">
        <v>1436</v>
      </c>
      <c r="S7" s="617" t="s">
        <v>1437</v>
      </c>
      <c r="T7" s="617" t="s">
        <v>1438</v>
      </c>
      <c r="U7" s="617" t="s">
        <v>1439</v>
      </c>
      <c r="V7" s="615" t="s">
        <v>1494</v>
      </c>
      <c r="W7" s="615" t="s">
        <v>1495</v>
      </c>
      <c r="X7" s="615" t="s">
        <v>1496</v>
      </c>
      <c r="Y7" s="615" t="s">
        <v>1497</v>
      </c>
      <c r="Z7" s="615" t="s">
        <v>1498</v>
      </c>
      <c r="AA7" s="615" t="s">
        <v>1499</v>
      </c>
    </row>
    <row r="8" spans="1:27">
      <c r="A8" s="167">
        <v>7</v>
      </c>
      <c r="B8" s="242" t="s">
        <v>1258</v>
      </c>
      <c r="C8" s="242" t="s">
        <v>1247</v>
      </c>
      <c r="D8" s="242" t="s">
        <v>1380</v>
      </c>
      <c r="E8" s="1">
        <v>70.849999999999994</v>
      </c>
      <c r="F8" s="257">
        <v>0.128</v>
      </c>
      <c r="G8" s="1">
        <v>15</v>
      </c>
      <c r="H8" s="167">
        <v>12750</v>
      </c>
      <c r="I8" s="167">
        <v>1300</v>
      </c>
      <c r="J8" s="167">
        <v>2350</v>
      </c>
      <c r="K8" s="398">
        <v>200</v>
      </c>
      <c r="L8" s="242">
        <v>1.198</v>
      </c>
      <c r="N8" s="1"/>
      <c r="O8" s="134" t="s">
        <v>1383</v>
      </c>
      <c r="Q8" s="617"/>
      <c r="R8" s="617"/>
      <c r="S8" s="617"/>
      <c r="T8" s="617"/>
      <c r="U8" s="617"/>
      <c r="V8" s="615"/>
      <c r="W8" s="615"/>
      <c r="X8" s="615"/>
      <c r="Y8" s="615"/>
      <c r="Z8" s="615"/>
      <c r="AA8" s="615"/>
    </row>
    <row r="9" spans="1:27">
      <c r="A9" s="167">
        <v>8</v>
      </c>
      <c r="B9" s="242" t="s">
        <v>1259</v>
      </c>
      <c r="C9" s="242" t="s">
        <v>1246</v>
      </c>
      <c r="D9" s="242" t="s">
        <v>1380</v>
      </c>
      <c r="E9" s="1">
        <v>70.849999999999994</v>
      </c>
      <c r="F9" s="257">
        <v>0.128</v>
      </c>
      <c r="G9" s="1">
        <v>15</v>
      </c>
      <c r="H9" s="167">
        <v>17660</v>
      </c>
      <c r="I9" s="167">
        <v>1800</v>
      </c>
      <c r="J9" s="167">
        <v>1700</v>
      </c>
      <c r="K9" s="167">
        <v>10000</v>
      </c>
      <c r="L9" s="242">
        <v>1.7000000000000001E-2</v>
      </c>
      <c r="N9" s="1"/>
      <c r="O9" s="134" t="s">
        <v>1384</v>
      </c>
      <c r="Q9" s="617"/>
      <c r="R9" s="617"/>
      <c r="S9" s="617"/>
      <c r="T9" s="617"/>
      <c r="U9" s="617"/>
      <c r="V9" s="615"/>
      <c r="W9" s="615"/>
      <c r="X9" s="615"/>
      <c r="Y9" s="615"/>
      <c r="Z9" s="615"/>
      <c r="AA9" s="615"/>
    </row>
    <row r="10" spans="1:27">
      <c r="A10" s="167">
        <v>9</v>
      </c>
      <c r="B10" s="242" t="s">
        <v>1260</v>
      </c>
      <c r="C10" s="242" t="s">
        <v>1257</v>
      </c>
      <c r="D10" s="250" t="s">
        <v>1380</v>
      </c>
      <c r="E10" s="1">
        <v>70.849999999999994</v>
      </c>
      <c r="F10" s="257">
        <v>0.128</v>
      </c>
      <c r="G10" s="1">
        <v>18</v>
      </c>
      <c r="H10" s="167">
        <v>9000</v>
      </c>
      <c r="I10" s="398">
        <v>917</v>
      </c>
      <c r="J10" s="167">
        <v>4000</v>
      </c>
      <c r="K10" s="398">
        <v>100</v>
      </c>
      <c r="L10" s="242">
        <v>4.077</v>
      </c>
      <c r="M10" s="248">
        <v>0.65</v>
      </c>
      <c r="N10" s="1"/>
      <c r="O10" s="134" t="s">
        <v>1382</v>
      </c>
      <c r="Q10" s="617"/>
      <c r="R10" s="617"/>
      <c r="S10" s="617"/>
      <c r="T10" s="617"/>
      <c r="U10" s="617"/>
      <c r="V10" s="615"/>
      <c r="W10" s="615"/>
      <c r="X10" s="615"/>
      <c r="Y10" s="615"/>
      <c r="Z10" s="615"/>
      <c r="AA10" s="615"/>
    </row>
    <row r="11" spans="1:27">
      <c r="A11" s="167">
        <v>10</v>
      </c>
      <c r="B11" s="242" t="s">
        <v>1261</v>
      </c>
      <c r="C11" s="242" t="s">
        <v>1262</v>
      </c>
      <c r="D11" s="242" t="s">
        <v>1386</v>
      </c>
      <c r="E11" s="1">
        <v>2230</v>
      </c>
      <c r="F11" s="257">
        <v>0</v>
      </c>
      <c r="G11" s="1">
        <v>19.5</v>
      </c>
      <c r="H11" s="167">
        <v>73600</v>
      </c>
      <c r="I11" s="167">
        <v>7500</v>
      </c>
      <c r="J11" s="398">
        <v>530</v>
      </c>
      <c r="K11" s="398">
        <v>109</v>
      </c>
      <c r="L11" s="242">
        <v>0.496</v>
      </c>
      <c r="N11" s="1"/>
      <c r="O11" s="134" t="s">
        <v>1385</v>
      </c>
      <c r="Q11" s="614" t="s">
        <v>1507</v>
      </c>
      <c r="R11" s="613"/>
      <c r="S11" s="613" t="s">
        <v>1440</v>
      </c>
      <c r="T11" s="613"/>
      <c r="U11" s="613"/>
      <c r="V11" s="613"/>
      <c r="W11" s="613" t="s">
        <v>1441</v>
      </c>
      <c r="X11" s="613"/>
      <c r="Y11" s="244" t="s">
        <v>1442</v>
      </c>
      <c r="Z11" s="613" t="s">
        <v>1444</v>
      </c>
      <c r="AA11" s="613" t="s">
        <v>1445</v>
      </c>
    </row>
    <row r="12" spans="1:27">
      <c r="A12" s="167">
        <v>11</v>
      </c>
      <c r="B12" s="242" t="s">
        <v>1248</v>
      </c>
      <c r="C12" s="242" t="s">
        <v>1246</v>
      </c>
      <c r="D12" s="242" t="s">
        <v>1380</v>
      </c>
      <c r="E12" s="1">
        <v>70.849999999999994</v>
      </c>
      <c r="F12" s="257">
        <v>0.128</v>
      </c>
      <c r="G12" s="1">
        <v>31.4</v>
      </c>
      <c r="H12" s="167">
        <v>19620</v>
      </c>
      <c r="I12" s="167">
        <v>2000</v>
      </c>
      <c r="J12" s="167">
        <v>3200</v>
      </c>
      <c r="K12" s="167">
        <v>22369</v>
      </c>
      <c r="L12" s="260">
        <v>1.4999999999999999E-2</v>
      </c>
      <c r="M12" s="248">
        <v>0.52</v>
      </c>
      <c r="N12" s="1"/>
      <c r="O12" s="134"/>
      <c r="Q12" s="614"/>
      <c r="R12" s="613"/>
      <c r="S12" s="613"/>
      <c r="T12" s="613"/>
      <c r="U12" s="613"/>
      <c r="V12" s="613"/>
      <c r="W12" s="613"/>
      <c r="X12" s="613"/>
      <c r="Y12" s="244" t="s">
        <v>1443</v>
      </c>
      <c r="Z12" s="613"/>
      <c r="AA12" s="613"/>
    </row>
    <row r="13" spans="1:27">
      <c r="A13" s="167">
        <v>12</v>
      </c>
      <c r="B13" s="242" t="s">
        <v>1263</v>
      </c>
      <c r="C13" s="242" t="s">
        <v>1245</v>
      </c>
      <c r="D13" s="242" t="s">
        <v>422</v>
      </c>
      <c r="E13" s="1">
        <v>1738</v>
      </c>
      <c r="F13" s="257">
        <v>3.6999999999999998E-2</v>
      </c>
      <c r="G13" s="1">
        <v>32.4</v>
      </c>
      <c r="H13" s="167">
        <v>19620</v>
      </c>
      <c r="I13" s="167">
        <v>2000</v>
      </c>
      <c r="J13" s="167">
        <v>3300</v>
      </c>
      <c r="K13" s="167">
        <v>85469</v>
      </c>
      <c r="L13" s="260">
        <v>4.0000000000000001E-3</v>
      </c>
      <c r="M13" s="248">
        <v>0.53</v>
      </c>
      <c r="N13" s="1"/>
      <c r="O13" s="134"/>
      <c r="Q13" s="614" t="s">
        <v>1500</v>
      </c>
      <c r="R13" s="613" t="s">
        <v>1446</v>
      </c>
      <c r="S13" s="613" t="s">
        <v>1508</v>
      </c>
      <c r="T13" s="613" t="s">
        <v>1447</v>
      </c>
      <c r="U13" s="613" t="s">
        <v>1448</v>
      </c>
      <c r="V13" s="614" t="s">
        <v>1509</v>
      </c>
      <c r="W13" s="613" t="s">
        <v>1449</v>
      </c>
      <c r="X13" s="614" t="s">
        <v>1450</v>
      </c>
      <c r="Y13" s="244" t="s">
        <v>1451</v>
      </c>
      <c r="Z13" s="613" t="s">
        <v>1453</v>
      </c>
      <c r="AA13" s="613" t="s">
        <v>1453</v>
      </c>
    </row>
    <row r="14" spans="1:27">
      <c r="A14" s="167">
        <v>13</v>
      </c>
      <c r="B14" s="242" t="s">
        <v>1264</v>
      </c>
      <c r="C14" s="242" t="s">
        <v>1250</v>
      </c>
      <c r="D14" s="242" t="s">
        <v>1394</v>
      </c>
      <c r="E14" s="1">
        <v>1500</v>
      </c>
      <c r="F14" s="257">
        <v>0</v>
      </c>
      <c r="G14" s="1">
        <v>43.2</v>
      </c>
      <c r="H14" s="167">
        <v>78480</v>
      </c>
      <c r="I14" s="167">
        <v>8000</v>
      </c>
      <c r="J14" s="167">
        <v>1100</v>
      </c>
      <c r="K14" s="167">
        <v>83611</v>
      </c>
      <c r="L14" s="242">
        <v>1E-3</v>
      </c>
      <c r="M14" s="249">
        <v>0.72</v>
      </c>
      <c r="N14" s="252"/>
      <c r="O14" s="134"/>
      <c r="Q14" s="614"/>
      <c r="R14" s="613"/>
      <c r="S14" s="613"/>
      <c r="T14" s="613"/>
      <c r="U14" s="613"/>
      <c r="V14" s="614"/>
      <c r="W14" s="613"/>
      <c r="X14" s="614"/>
      <c r="Y14" s="244" t="s">
        <v>1452</v>
      </c>
      <c r="Z14" s="613"/>
      <c r="AA14" s="613"/>
    </row>
    <row r="15" spans="1:27">
      <c r="A15" s="167">
        <v>14</v>
      </c>
      <c r="B15" s="242" t="s">
        <v>1265</v>
      </c>
      <c r="C15" s="242" t="s">
        <v>1249</v>
      </c>
      <c r="D15" s="242" t="s">
        <v>1380</v>
      </c>
      <c r="E15" s="1">
        <v>70.849999999999994</v>
      </c>
      <c r="F15" s="257">
        <v>0.128</v>
      </c>
      <c r="G15" s="1">
        <v>44.2</v>
      </c>
      <c r="H15" s="167">
        <v>39240</v>
      </c>
      <c r="I15" s="167">
        <v>4000</v>
      </c>
      <c r="J15" s="167">
        <v>2250</v>
      </c>
      <c r="K15" s="167">
        <v>43796</v>
      </c>
      <c r="L15" s="242">
        <v>5.0000000000000001E-3</v>
      </c>
      <c r="M15" s="248">
        <v>0.72</v>
      </c>
      <c r="N15" s="1"/>
      <c r="O15" s="134"/>
      <c r="Q15" s="614" t="s">
        <v>1501</v>
      </c>
      <c r="R15" s="613"/>
      <c r="S15" s="613" t="s">
        <v>1454</v>
      </c>
      <c r="T15" s="613"/>
      <c r="U15" s="613"/>
      <c r="V15" s="613"/>
      <c r="W15" s="613" t="s">
        <v>1455</v>
      </c>
      <c r="X15" s="613"/>
      <c r="Y15" s="244" t="s">
        <v>1456</v>
      </c>
      <c r="Z15" s="613" t="s">
        <v>1458</v>
      </c>
      <c r="AA15" s="613" t="s">
        <v>1459</v>
      </c>
    </row>
    <row r="16" spans="1:27">
      <c r="A16" s="167">
        <v>15</v>
      </c>
      <c r="B16" s="242" t="s">
        <v>1266</v>
      </c>
      <c r="C16" s="242" t="s">
        <v>1246</v>
      </c>
      <c r="D16" s="242" t="s">
        <v>1394</v>
      </c>
      <c r="E16" s="1">
        <v>1500</v>
      </c>
      <c r="F16" s="257">
        <v>0</v>
      </c>
      <c r="G16" s="1">
        <v>45.1</v>
      </c>
      <c r="H16" s="167">
        <v>19620</v>
      </c>
      <c r="I16" s="167">
        <v>2000</v>
      </c>
      <c r="J16" s="167">
        <v>4600</v>
      </c>
      <c r="K16" s="167">
        <v>41837</v>
      </c>
      <c r="L16" s="242">
        <v>1.0999999999999999E-2</v>
      </c>
      <c r="M16" s="248">
        <v>0.76</v>
      </c>
      <c r="N16" s="1"/>
      <c r="O16" s="134"/>
      <c r="Q16" s="614"/>
      <c r="R16" s="613"/>
      <c r="S16" s="613"/>
      <c r="T16" s="613"/>
      <c r="U16" s="613"/>
      <c r="V16" s="613"/>
      <c r="W16" s="613"/>
      <c r="X16" s="613"/>
      <c r="Y16" s="244" t="s">
        <v>1457</v>
      </c>
      <c r="Z16" s="613"/>
      <c r="AA16" s="613"/>
    </row>
    <row r="17" spans="1:27">
      <c r="A17" s="167">
        <v>16</v>
      </c>
      <c r="B17" s="242" t="s">
        <v>1267</v>
      </c>
      <c r="C17" s="242" t="s">
        <v>1257</v>
      </c>
      <c r="D17" s="242" t="s">
        <v>209</v>
      </c>
      <c r="E17" s="1">
        <v>226.7</v>
      </c>
      <c r="F17" s="257">
        <v>0</v>
      </c>
      <c r="G17" s="1">
        <v>47.1</v>
      </c>
      <c r="H17" s="167">
        <v>39240</v>
      </c>
      <c r="I17" s="167">
        <v>4000</v>
      </c>
      <c r="J17" s="167">
        <v>2400</v>
      </c>
      <c r="K17" s="167">
        <v>22222</v>
      </c>
      <c r="L17" s="242">
        <v>1.0999999999999999E-2</v>
      </c>
      <c r="M17" s="249">
        <v>0.79</v>
      </c>
      <c r="N17" s="252"/>
      <c r="O17" s="134"/>
      <c r="Q17" s="614" t="s">
        <v>1502</v>
      </c>
      <c r="R17" s="613" t="s">
        <v>1460</v>
      </c>
      <c r="S17" s="613" t="s">
        <v>1461</v>
      </c>
      <c r="T17" s="613" t="s">
        <v>1462</v>
      </c>
      <c r="U17" s="613" t="s">
        <v>1463</v>
      </c>
      <c r="V17" s="613"/>
      <c r="W17" s="613" t="s">
        <v>1464</v>
      </c>
      <c r="X17" s="614" t="s">
        <v>1465</v>
      </c>
      <c r="Y17" s="244" t="s">
        <v>1466</v>
      </c>
      <c r="Z17" s="613" t="s">
        <v>1468</v>
      </c>
      <c r="AA17" s="613" t="s">
        <v>1469</v>
      </c>
    </row>
    <row r="18" spans="1:27">
      <c r="A18" s="167">
        <v>17</v>
      </c>
      <c r="B18" s="242" t="s">
        <v>1268</v>
      </c>
      <c r="C18" s="242" t="s">
        <v>1249</v>
      </c>
      <c r="D18" s="242" t="s">
        <v>1394</v>
      </c>
      <c r="E18" s="1">
        <v>1500</v>
      </c>
      <c r="F18" s="257">
        <v>0</v>
      </c>
      <c r="G18" s="1">
        <v>47.1</v>
      </c>
      <c r="H18" s="167">
        <v>78480</v>
      </c>
      <c r="I18" s="167">
        <v>8000</v>
      </c>
      <c r="J18" s="167">
        <v>1200</v>
      </c>
      <c r="K18" s="167">
        <v>82675</v>
      </c>
      <c r="L18" s="242">
        <v>1E-3</v>
      </c>
      <c r="M18" s="248">
        <v>0.73</v>
      </c>
      <c r="N18" s="1"/>
      <c r="O18" s="134" t="s">
        <v>1395</v>
      </c>
      <c r="Q18" s="614"/>
      <c r="R18" s="613"/>
      <c r="S18" s="613"/>
      <c r="T18" s="613"/>
      <c r="U18" s="613"/>
      <c r="V18" s="613"/>
      <c r="W18" s="613"/>
      <c r="X18" s="614"/>
      <c r="Y18" s="244" t="s">
        <v>1467</v>
      </c>
      <c r="Z18" s="613"/>
      <c r="AA18" s="613"/>
    </row>
    <row r="19" spans="1:27">
      <c r="A19" s="167">
        <v>18</v>
      </c>
      <c r="B19" s="242" t="s">
        <v>1269</v>
      </c>
      <c r="C19" s="242" t="s">
        <v>1246</v>
      </c>
      <c r="D19" s="242" t="s">
        <v>1380</v>
      </c>
      <c r="E19" s="1">
        <v>70.849999999999994</v>
      </c>
      <c r="F19" s="257">
        <v>0.128</v>
      </c>
      <c r="G19" s="1">
        <v>48.6</v>
      </c>
      <c r="H19" s="167">
        <v>9810</v>
      </c>
      <c r="I19" s="167">
        <v>1000</v>
      </c>
      <c r="J19" s="167">
        <v>9900</v>
      </c>
      <c r="K19" s="167">
        <v>42601</v>
      </c>
      <c r="L19" s="242">
        <v>2.4E-2</v>
      </c>
      <c r="M19" s="249">
        <v>0.85</v>
      </c>
      <c r="N19" s="252"/>
      <c r="O19" s="134"/>
      <c r="Q19" s="614" t="s">
        <v>1503</v>
      </c>
      <c r="R19" s="613" t="s">
        <v>1470</v>
      </c>
      <c r="S19" s="613" t="s">
        <v>1461</v>
      </c>
      <c r="T19" s="613" t="s">
        <v>1462</v>
      </c>
      <c r="U19" s="613" t="s">
        <v>1463</v>
      </c>
      <c r="V19" s="614" t="s">
        <v>1510</v>
      </c>
      <c r="W19" s="613" t="s">
        <v>1464</v>
      </c>
      <c r="X19" s="614" t="s">
        <v>1465</v>
      </c>
      <c r="Y19" s="244" t="s">
        <v>1466</v>
      </c>
      <c r="Z19" s="613" t="s">
        <v>1468</v>
      </c>
      <c r="AA19" s="613" t="s">
        <v>1469</v>
      </c>
    </row>
    <row r="20" spans="1:27">
      <c r="A20" s="167">
        <v>19</v>
      </c>
      <c r="B20" s="242" t="s">
        <v>1270</v>
      </c>
      <c r="C20" s="242" t="s">
        <v>1255</v>
      </c>
      <c r="D20" s="242" t="s">
        <v>1390</v>
      </c>
      <c r="E20" s="1">
        <v>358.6</v>
      </c>
      <c r="F20" s="257">
        <v>0.03</v>
      </c>
      <c r="G20" s="1">
        <v>49.3</v>
      </c>
      <c r="H20" s="167">
        <v>4400</v>
      </c>
      <c r="I20" s="398">
        <v>449</v>
      </c>
      <c r="J20" s="167">
        <v>22400</v>
      </c>
      <c r="K20" s="167">
        <v>199600</v>
      </c>
      <c r="L20" s="242">
        <v>1.0999999999999999E-2</v>
      </c>
      <c r="N20" s="1"/>
      <c r="O20" s="134"/>
      <c r="Q20" s="614"/>
      <c r="R20" s="613"/>
      <c r="S20" s="613"/>
      <c r="T20" s="613"/>
      <c r="U20" s="613"/>
      <c r="V20" s="614"/>
      <c r="W20" s="613"/>
      <c r="X20" s="614"/>
      <c r="Y20" s="244" t="s">
        <v>1467</v>
      </c>
      <c r="Z20" s="613"/>
      <c r="AA20" s="613"/>
    </row>
    <row r="21" spans="1:27">
      <c r="A21" s="167">
        <v>20</v>
      </c>
      <c r="B21" s="242" t="s">
        <v>1271</v>
      </c>
      <c r="C21" s="242" t="s">
        <v>1272</v>
      </c>
      <c r="D21" s="242" t="s">
        <v>1394</v>
      </c>
      <c r="E21" s="1">
        <v>1500</v>
      </c>
      <c r="F21" s="257">
        <v>0</v>
      </c>
      <c r="G21" s="1">
        <v>51</v>
      </c>
      <c r="H21" s="167">
        <v>9810</v>
      </c>
      <c r="I21" s="167">
        <v>1000</v>
      </c>
      <c r="J21" s="167">
        <v>10400</v>
      </c>
      <c r="K21" s="167">
        <v>163000</v>
      </c>
      <c r="L21" s="242">
        <v>7.0000000000000001E-3</v>
      </c>
      <c r="M21" s="248">
        <v>0.85</v>
      </c>
      <c r="N21" s="1"/>
      <c r="O21" s="134"/>
      <c r="Q21" s="614" t="s">
        <v>1504</v>
      </c>
      <c r="R21" s="613" t="s">
        <v>1471</v>
      </c>
      <c r="S21" s="613"/>
      <c r="T21" s="613"/>
      <c r="U21" s="613"/>
      <c r="V21" s="613"/>
      <c r="W21" s="613"/>
      <c r="X21" s="613"/>
      <c r="Y21" s="244" t="s">
        <v>1472</v>
      </c>
      <c r="Z21" s="613"/>
      <c r="AA21" s="613" t="s">
        <v>1474</v>
      </c>
    </row>
    <row r="22" spans="1:27">
      <c r="A22" s="167">
        <v>21</v>
      </c>
      <c r="B22" s="242" t="s">
        <v>1273</v>
      </c>
      <c r="C22" s="242" t="s">
        <v>1245</v>
      </c>
      <c r="D22" s="242" t="s">
        <v>422</v>
      </c>
      <c r="E22" s="1">
        <v>1738</v>
      </c>
      <c r="F22" s="257">
        <v>3.6999999999999998E-2</v>
      </c>
      <c r="G22" s="1">
        <v>56.7</v>
      </c>
      <c r="H22" s="167">
        <v>78480</v>
      </c>
      <c r="I22" s="167">
        <v>8000</v>
      </c>
      <c r="J22" s="167">
        <v>1444</v>
      </c>
      <c r="K22" s="167">
        <v>120149</v>
      </c>
      <c r="L22" s="398">
        <v>1E-3</v>
      </c>
      <c r="M22" s="248">
        <v>0.95</v>
      </c>
      <c r="N22" s="1"/>
      <c r="O22" s="134"/>
      <c r="Q22" s="614"/>
      <c r="R22" s="613"/>
      <c r="S22" s="613"/>
      <c r="T22" s="613"/>
      <c r="U22" s="613"/>
      <c r="V22" s="613"/>
      <c r="W22" s="613"/>
      <c r="X22" s="613"/>
      <c r="Y22" s="244" t="s">
        <v>1473</v>
      </c>
      <c r="Z22" s="613"/>
      <c r="AA22" s="613"/>
    </row>
    <row r="23" spans="1:27">
      <c r="A23" s="167">
        <v>22</v>
      </c>
      <c r="B23" s="242" t="s">
        <v>1274</v>
      </c>
      <c r="C23" s="242" t="s">
        <v>1246</v>
      </c>
      <c r="D23" s="242" t="s">
        <v>63</v>
      </c>
      <c r="E23" s="1">
        <v>999.8</v>
      </c>
      <c r="F23" s="257">
        <v>1.4279999999999999E-2</v>
      </c>
      <c r="G23" s="1">
        <v>58.9</v>
      </c>
      <c r="H23" s="167">
        <v>9810</v>
      </c>
      <c r="I23" s="167">
        <v>1000</v>
      </c>
      <c r="J23" s="167">
        <v>12000</v>
      </c>
      <c r="K23" s="167">
        <v>123302</v>
      </c>
      <c r="L23" s="398">
        <v>0.01</v>
      </c>
      <c r="M23" s="248">
        <v>0.81</v>
      </c>
      <c r="N23" s="1"/>
      <c r="O23" s="134"/>
      <c r="Q23" s="614" t="s">
        <v>1505</v>
      </c>
      <c r="R23" s="613" t="s">
        <v>1475</v>
      </c>
      <c r="S23" s="613"/>
      <c r="T23" s="613"/>
      <c r="U23" s="613"/>
      <c r="V23" s="613"/>
      <c r="W23" s="613"/>
      <c r="X23" s="613"/>
      <c r="Y23" s="244" t="s">
        <v>1472</v>
      </c>
      <c r="Z23" s="613"/>
      <c r="AA23" s="613" t="s">
        <v>1474</v>
      </c>
    </row>
    <row r="24" spans="1:27">
      <c r="A24" s="167">
        <v>23</v>
      </c>
      <c r="B24" s="242" t="s">
        <v>1275</v>
      </c>
      <c r="C24" s="242" t="s">
        <v>1247</v>
      </c>
      <c r="D24" s="242" t="s">
        <v>1398</v>
      </c>
      <c r="E24" s="1">
        <v>800</v>
      </c>
      <c r="F24" s="257">
        <v>1.8180000000000002E-2</v>
      </c>
      <c r="G24" s="1">
        <v>64.900000000000006</v>
      </c>
      <c r="H24" s="167">
        <v>2649</v>
      </c>
      <c r="I24" s="398">
        <v>270</v>
      </c>
      <c r="J24" s="167">
        <v>49000</v>
      </c>
      <c r="K24" s="167">
        <v>10000</v>
      </c>
      <c r="L24" s="242">
        <v>0.499</v>
      </c>
      <c r="N24" s="1"/>
      <c r="O24" s="134" t="s">
        <v>133</v>
      </c>
      <c r="Q24" s="614"/>
      <c r="R24" s="613"/>
      <c r="S24" s="613"/>
      <c r="T24" s="613"/>
      <c r="U24" s="613"/>
      <c r="V24" s="613"/>
      <c r="W24" s="613"/>
      <c r="X24" s="613"/>
      <c r="Y24" s="244" t="s">
        <v>1473</v>
      </c>
      <c r="Z24" s="613"/>
      <c r="AA24" s="613"/>
    </row>
    <row r="25" spans="1:27">
      <c r="A25" s="167">
        <v>24</v>
      </c>
      <c r="B25" s="242" t="s">
        <v>1276</v>
      </c>
      <c r="C25" s="242" t="s">
        <v>1247</v>
      </c>
      <c r="D25" s="242" t="s">
        <v>1380</v>
      </c>
      <c r="E25" s="1">
        <v>70.849999999999994</v>
      </c>
      <c r="F25" s="257">
        <v>0.128</v>
      </c>
      <c r="G25" s="1">
        <v>65</v>
      </c>
      <c r="H25" s="167">
        <v>13200</v>
      </c>
      <c r="I25" s="167">
        <v>1350</v>
      </c>
      <c r="J25" s="167">
        <v>9800</v>
      </c>
      <c r="K25" s="398">
        <v>835</v>
      </c>
      <c r="L25" s="254">
        <v>1.2</v>
      </c>
      <c r="N25" s="1"/>
      <c r="O25" s="134" t="s">
        <v>1401</v>
      </c>
      <c r="Q25" s="614" t="s">
        <v>1506</v>
      </c>
      <c r="R25" s="613" t="s">
        <v>1476</v>
      </c>
      <c r="S25" s="613" t="s">
        <v>1477</v>
      </c>
      <c r="T25" s="613" t="s">
        <v>1478</v>
      </c>
      <c r="U25" s="613"/>
      <c r="V25" s="613"/>
      <c r="W25" s="613"/>
      <c r="X25" s="613"/>
      <c r="Y25" s="244"/>
      <c r="Z25" s="613"/>
      <c r="AA25" s="613"/>
    </row>
    <row r="26" spans="1:27">
      <c r="A26" s="167">
        <v>25</v>
      </c>
      <c r="B26" s="242" t="s">
        <v>1277</v>
      </c>
      <c r="C26" s="242" t="s">
        <v>1247</v>
      </c>
      <c r="D26" s="242" t="s">
        <v>1380</v>
      </c>
      <c r="E26" s="1">
        <v>70.849999999999994</v>
      </c>
      <c r="F26" s="257">
        <v>0.128</v>
      </c>
      <c r="G26" s="1">
        <v>68.7</v>
      </c>
      <c r="H26" s="167">
        <v>9810</v>
      </c>
      <c r="I26" s="167">
        <v>1000</v>
      </c>
      <c r="J26" s="167">
        <v>14000</v>
      </c>
      <c r="K26" s="398">
        <v>200</v>
      </c>
      <c r="L26" s="254">
        <v>7.1360000000000001</v>
      </c>
      <c r="N26" s="1"/>
      <c r="O26" s="134" t="s">
        <v>1402</v>
      </c>
      <c r="Q26" s="614"/>
      <c r="R26" s="613"/>
      <c r="S26" s="613"/>
      <c r="T26" s="613"/>
      <c r="U26" s="613"/>
      <c r="V26" s="613"/>
      <c r="W26" s="613"/>
      <c r="X26" s="613"/>
      <c r="Y26" s="244"/>
      <c r="Z26" s="613"/>
      <c r="AA26" s="613"/>
    </row>
    <row r="27" spans="1:27">
      <c r="A27" s="167">
        <v>26</v>
      </c>
      <c r="B27" s="242" t="s">
        <v>1278</v>
      </c>
      <c r="C27" s="242" t="s">
        <v>1247</v>
      </c>
      <c r="D27" s="242" t="s">
        <v>823</v>
      </c>
      <c r="E27" s="1">
        <v>1101</v>
      </c>
      <c r="F27" s="257">
        <v>5.5500000000000002E-3</v>
      </c>
      <c r="G27" s="1">
        <v>81</v>
      </c>
      <c r="H27" s="167">
        <v>3306</v>
      </c>
      <c r="I27" s="260">
        <v>337</v>
      </c>
      <c r="J27" s="167">
        <v>49000</v>
      </c>
      <c r="K27" s="167">
        <v>10000</v>
      </c>
      <c r="L27" s="258">
        <v>0.499</v>
      </c>
      <c r="N27" s="1"/>
      <c r="O27" s="134" t="s">
        <v>133</v>
      </c>
    </row>
    <row r="28" spans="1:27">
      <c r="A28" s="167">
        <v>27</v>
      </c>
      <c r="B28" s="242" t="s">
        <v>1279</v>
      </c>
      <c r="C28" s="242" t="s">
        <v>1247</v>
      </c>
      <c r="D28" s="242" t="s">
        <v>63</v>
      </c>
      <c r="E28" s="1">
        <v>999.8</v>
      </c>
      <c r="F28" s="257">
        <v>1.4279999999999999E-2</v>
      </c>
      <c r="G28" s="1">
        <v>99</v>
      </c>
      <c r="H28" s="167">
        <v>4042</v>
      </c>
      <c r="I28" s="260">
        <v>412</v>
      </c>
      <c r="J28" s="167">
        <v>49000</v>
      </c>
      <c r="K28" s="167">
        <v>10000</v>
      </c>
      <c r="L28" s="242">
        <v>0.499</v>
      </c>
      <c r="N28" s="1"/>
      <c r="O28" s="134" t="s">
        <v>133</v>
      </c>
    </row>
    <row r="29" spans="1:27">
      <c r="A29" s="167">
        <v>28</v>
      </c>
      <c r="B29" s="242" t="s">
        <v>1280</v>
      </c>
      <c r="C29" s="242" t="s">
        <v>1262</v>
      </c>
      <c r="D29" s="242" t="s">
        <v>1420</v>
      </c>
      <c r="E29" s="1">
        <v>13630</v>
      </c>
      <c r="F29" s="257">
        <v>0</v>
      </c>
      <c r="G29" s="167">
        <v>111.2</v>
      </c>
      <c r="H29" s="167">
        <v>5170000</v>
      </c>
      <c r="I29" s="167">
        <v>527013</v>
      </c>
      <c r="J29" s="398">
        <v>43</v>
      </c>
      <c r="K29" s="167">
        <v>113400</v>
      </c>
      <c r="L29" s="172">
        <v>3.8999999999999999E-5</v>
      </c>
      <c r="N29" s="1"/>
      <c r="O29" s="134"/>
    </row>
    <row r="30" spans="1:27">
      <c r="A30" s="167">
        <v>29</v>
      </c>
      <c r="B30" s="242" t="s">
        <v>1281</v>
      </c>
      <c r="C30" s="242" t="s">
        <v>1247</v>
      </c>
      <c r="D30" s="242" t="s">
        <v>828</v>
      </c>
      <c r="E30" s="1">
        <v>681.9</v>
      </c>
      <c r="F30" s="257">
        <v>0.01</v>
      </c>
      <c r="G30" s="167">
        <v>125</v>
      </c>
      <c r="H30" s="167">
        <v>5101</v>
      </c>
      <c r="I30" s="398">
        <v>520</v>
      </c>
      <c r="J30" s="167">
        <v>49000</v>
      </c>
      <c r="K30" s="167">
        <v>10000</v>
      </c>
      <c r="L30" s="255">
        <v>0.499</v>
      </c>
      <c r="N30" s="1"/>
      <c r="O30" s="134" t="s">
        <v>133</v>
      </c>
      <c r="P30" s="172"/>
    </row>
    <row r="31" spans="1:27">
      <c r="A31" s="167">
        <v>30</v>
      </c>
      <c r="B31" s="242" t="s">
        <v>1282</v>
      </c>
      <c r="C31" s="242" t="s">
        <v>1250</v>
      </c>
      <c r="D31" s="242" t="s">
        <v>209</v>
      </c>
      <c r="E31" s="1">
        <v>226.7</v>
      </c>
      <c r="F31" s="257">
        <v>0</v>
      </c>
      <c r="G31" s="167">
        <v>125.6</v>
      </c>
      <c r="H31" s="167">
        <v>78480</v>
      </c>
      <c r="I31" s="167">
        <v>8000</v>
      </c>
      <c r="J31" s="167">
        <v>3200</v>
      </c>
      <c r="K31" s="167">
        <v>243333</v>
      </c>
      <c r="L31" s="254">
        <v>1E-3</v>
      </c>
      <c r="N31" s="1"/>
      <c r="O31" s="134"/>
    </row>
    <row r="32" spans="1:27">
      <c r="A32" s="167">
        <v>31</v>
      </c>
      <c r="B32" s="242" t="s">
        <v>1283</v>
      </c>
      <c r="C32" s="242" t="s">
        <v>1247</v>
      </c>
      <c r="D32" s="242" t="s">
        <v>1397</v>
      </c>
      <c r="E32" s="1">
        <v>422.62</v>
      </c>
      <c r="F32" s="257">
        <v>4.2999999999999997E-2</v>
      </c>
      <c r="G32" s="167">
        <v>154.80000000000001</v>
      </c>
      <c r="H32" s="167">
        <v>6318</v>
      </c>
      <c r="I32" s="261">
        <v>644</v>
      </c>
      <c r="J32" s="167">
        <v>49000</v>
      </c>
      <c r="K32" s="167">
        <v>10000</v>
      </c>
      <c r="L32" s="242">
        <v>0.499</v>
      </c>
      <c r="N32" s="1"/>
      <c r="O32" s="134" t="s">
        <v>133</v>
      </c>
    </row>
    <row r="33" spans="1:16">
      <c r="A33" s="167">
        <v>32</v>
      </c>
      <c r="B33" s="242" t="s">
        <v>1284</v>
      </c>
      <c r="C33" s="242" t="s">
        <v>1247</v>
      </c>
      <c r="D33" s="242" t="s">
        <v>1380</v>
      </c>
      <c r="E33" s="1">
        <v>70.849999999999994</v>
      </c>
      <c r="F33" s="257">
        <v>0.128</v>
      </c>
      <c r="G33" s="167">
        <v>155.69999999999999</v>
      </c>
      <c r="H33" s="167">
        <v>8830</v>
      </c>
      <c r="I33" s="398">
        <v>900</v>
      </c>
      <c r="J33" s="167">
        <v>35280</v>
      </c>
      <c r="K33" s="167">
        <v>2000</v>
      </c>
      <c r="L33" s="242">
        <v>1.798</v>
      </c>
      <c r="N33" s="1"/>
      <c r="O33" s="134" t="s">
        <v>1404</v>
      </c>
    </row>
    <row r="34" spans="1:16">
      <c r="A34" s="167">
        <v>33</v>
      </c>
      <c r="B34" s="242" t="s">
        <v>1285</v>
      </c>
      <c r="C34" s="242" t="s">
        <v>1262</v>
      </c>
      <c r="D34" s="242" t="s">
        <v>1419</v>
      </c>
      <c r="E34" s="1">
        <v>19000</v>
      </c>
      <c r="F34" s="257">
        <v>0</v>
      </c>
      <c r="G34" s="167">
        <v>165</v>
      </c>
      <c r="H34" s="167">
        <v>15000000</v>
      </c>
      <c r="I34" s="167">
        <v>1529052</v>
      </c>
      <c r="J34" s="398">
        <v>22</v>
      </c>
      <c r="K34" s="167">
        <v>9000</v>
      </c>
      <c r="L34" s="172">
        <v>2.4899999999999998E-4</v>
      </c>
      <c r="N34" s="1"/>
      <c r="O34" s="134"/>
    </row>
    <row r="35" spans="1:16">
      <c r="A35" s="167">
        <v>34</v>
      </c>
      <c r="B35" s="242" t="s">
        <v>1286</v>
      </c>
      <c r="C35" s="242" t="s">
        <v>1245</v>
      </c>
      <c r="D35" s="242" t="s">
        <v>1396</v>
      </c>
      <c r="E35" s="1">
        <v>1738</v>
      </c>
      <c r="F35" s="257">
        <v>0.04</v>
      </c>
      <c r="G35" s="167">
        <v>172</v>
      </c>
      <c r="H35" s="167">
        <v>43000</v>
      </c>
      <c r="I35" s="167">
        <v>4383</v>
      </c>
      <c r="J35" s="167">
        <v>8000</v>
      </c>
      <c r="K35" s="167">
        <v>20000</v>
      </c>
      <c r="L35" s="255">
        <v>4.1000000000000002E-2</v>
      </c>
      <c r="M35" s="248">
        <v>0.85</v>
      </c>
      <c r="N35" s="1"/>
      <c r="O35" s="134"/>
      <c r="P35" s="172"/>
    </row>
    <row r="36" spans="1:16">
      <c r="A36" s="167">
        <v>35</v>
      </c>
      <c r="B36" s="242" t="s">
        <v>1287</v>
      </c>
      <c r="C36" s="242" t="s">
        <v>1288</v>
      </c>
      <c r="D36" s="242" t="s">
        <v>1380</v>
      </c>
      <c r="E36" s="1">
        <v>70.849999999999994</v>
      </c>
      <c r="F36" s="257">
        <v>0.128</v>
      </c>
      <c r="G36" s="167">
        <v>196</v>
      </c>
      <c r="H36" s="167">
        <v>19620</v>
      </c>
      <c r="I36" s="167">
        <v>2000</v>
      </c>
      <c r="J36" s="167">
        <v>20000</v>
      </c>
      <c r="K36" s="167">
        <v>1000</v>
      </c>
      <c r="L36" s="242">
        <v>2.0390000000000001</v>
      </c>
      <c r="N36" s="1"/>
      <c r="O36" s="134" t="s">
        <v>1429</v>
      </c>
    </row>
    <row r="37" spans="1:16">
      <c r="A37" s="167">
        <v>36</v>
      </c>
      <c r="B37" s="242" t="s">
        <v>1289</v>
      </c>
      <c r="C37" s="242" t="s">
        <v>1247</v>
      </c>
      <c r="D37" s="242" t="s">
        <v>1380</v>
      </c>
      <c r="E37" s="1">
        <v>70.849999999999994</v>
      </c>
      <c r="F37" s="257">
        <v>0.128</v>
      </c>
      <c r="G37" s="167">
        <v>198</v>
      </c>
      <c r="H37" s="167">
        <v>8093</v>
      </c>
      <c r="I37" s="398">
        <v>825</v>
      </c>
      <c r="J37" s="167">
        <v>49000</v>
      </c>
      <c r="K37" s="167">
        <v>10000</v>
      </c>
      <c r="L37" s="259">
        <v>0.499</v>
      </c>
      <c r="N37" s="1"/>
      <c r="O37" s="134" t="s">
        <v>133</v>
      </c>
    </row>
    <row r="38" spans="1:16">
      <c r="A38" s="167">
        <v>37</v>
      </c>
      <c r="B38" s="242" t="s">
        <v>1290</v>
      </c>
      <c r="C38" s="242" t="s">
        <v>1257</v>
      </c>
      <c r="D38" s="242" t="s">
        <v>1380</v>
      </c>
      <c r="E38" s="1">
        <v>70.849999999999994</v>
      </c>
      <c r="F38" s="257">
        <v>0.128</v>
      </c>
      <c r="G38" s="167">
        <v>260</v>
      </c>
      <c r="H38" s="167">
        <v>40000</v>
      </c>
      <c r="I38" s="167">
        <v>4077</v>
      </c>
      <c r="J38" s="167">
        <v>13000</v>
      </c>
      <c r="K38" s="167">
        <v>20000</v>
      </c>
      <c r="L38" s="259">
        <v>6.6000000000000003E-2</v>
      </c>
      <c r="M38" s="248">
        <v>0.3</v>
      </c>
      <c r="N38" s="1"/>
      <c r="O38" s="134" t="s">
        <v>1387</v>
      </c>
    </row>
    <row r="39" spans="1:16">
      <c r="A39" s="167">
        <v>38</v>
      </c>
      <c r="B39" s="242" t="s">
        <v>1291</v>
      </c>
      <c r="C39" s="242" t="s">
        <v>1247</v>
      </c>
      <c r="D39" s="242" t="s">
        <v>1380</v>
      </c>
      <c r="E39" s="1">
        <v>70.849999999999994</v>
      </c>
      <c r="F39" s="257">
        <v>0.128</v>
      </c>
      <c r="G39" s="167">
        <v>292</v>
      </c>
      <c r="H39" s="167">
        <v>11900</v>
      </c>
      <c r="I39" s="167">
        <v>1210</v>
      </c>
      <c r="J39" s="167">
        <v>49000</v>
      </c>
      <c r="K39" s="398">
        <v>835</v>
      </c>
      <c r="L39" s="259">
        <v>6</v>
      </c>
      <c r="N39" s="1"/>
      <c r="O39" s="134" t="s">
        <v>1399</v>
      </c>
    </row>
    <row r="40" spans="1:16">
      <c r="A40" s="167">
        <v>39</v>
      </c>
      <c r="B40" s="242" t="s">
        <v>1271</v>
      </c>
      <c r="C40" s="242" t="s">
        <v>1272</v>
      </c>
      <c r="D40" s="242" t="s">
        <v>1394</v>
      </c>
      <c r="E40" s="1">
        <v>1500</v>
      </c>
      <c r="F40" s="257">
        <v>0</v>
      </c>
      <c r="G40" s="167">
        <v>300</v>
      </c>
      <c r="H40" s="167">
        <v>30000</v>
      </c>
      <c r="I40" s="167">
        <v>3058</v>
      </c>
      <c r="J40" s="167">
        <v>20000</v>
      </c>
      <c r="K40" s="167">
        <v>150000</v>
      </c>
      <c r="L40" s="242">
        <v>1.4E-2</v>
      </c>
      <c r="M40" s="248">
        <v>0.9</v>
      </c>
      <c r="N40" s="1"/>
      <c r="O40" s="134"/>
    </row>
    <row r="41" spans="1:16">
      <c r="A41" s="167">
        <v>40</v>
      </c>
      <c r="B41" s="242" t="s">
        <v>1292</v>
      </c>
      <c r="C41" s="242" t="s">
        <v>1247</v>
      </c>
      <c r="D41" s="242" t="s">
        <v>1380</v>
      </c>
      <c r="E41" s="1">
        <v>70.849999999999994</v>
      </c>
      <c r="F41" s="257">
        <v>0.128</v>
      </c>
      <c r="G41" s="167">
        <v>307</v>
      </c>
      <c r="H41" s="167">
        <v>9024</v>
      </c>
      <c r="I41" s="261">
        <v>920</v>
      </c>
      <c r="J41" s="167">
        <v>68000</v>
      </c>
      <c r="K41" s="167">
        <v>1800</v>
      </c>
      <c r="L41" s="242">
        <v>3.851</v>
      </c>
      <c r="N41" s="1"/>
      <c r="O41" s="134" t="s">
        <v>1403</v>
      </c>
    </row>
    <row r="42" spans="1:16">
      <c r="A42" s="167">
        <v>41</v>
      </c>
      <c r="B42" s="242" t="s">
        <v>1293</v>
      </c>
      <c r="C42" s="242" t="s">
        <v>1247</v>
      </c>
      <c r="D42" s="242" t="s">
        <v>1380</v>
      </c>
      <c r="E42" s="1">
        <v>70.849999999999994</v>
      </c>
      <c r="F42" s="257">
        <v>0.128</v>
      </c>
      <c r="G42" s="167">
        <v>322</v>
      </c>
      <c r="H42" s="167">
        <v>8830</v>
      </c>
      <c r="I42" s="261">
        <v>900</v>
      </c>
      <c r="J42" s="167">
        <v>73000</v>
      </c>
      <c r="K42" s="167">
        <v>2400</v>
      </c>
      <c r="L42" s="258">
        <v>3.01</v>
      </c>
      <c r="N42" s="1"/>
      <c r="O42" s="134" t="s">
        <v>1405</v>
      </c>
    </row>
    <row r="43" spans="1:16">
      <c r="A43" s="167">
        <v>42</v>
      </c>
      <c r="B43" s="242" t="s">
        <v>1294</v>
      </c>
      <c r="C43" s="242" t="s">
        <v>1250</v>
      </c>
      <c r="D43" s="242" t="s">
        <v>209</v>
      </c>
      <c r="E43" s="1">
        <v>226.7</v>
      </c>
      <c r="F43" s="257">
        <v>0</v>
      </c>
      <c r="G43" s="167">
        <v>369</v>
      </c>
      <c r="H43" s="167">
        <v>156960</v>
      </c>
      <c r="I43" s="167">
        <v>16000</v>
      </c>
      <c r="J43" s="167">
        <v>4700</v>
      </c>
      <c r="K43" s="167">
        <v>65089</v>
      </c>
      <c r="L43" s="258">
        <v>7.0000000000000001E-3</v>
      </c>
      <c r="N43" s="1"/>
      <c r="O43" s="134" t="s">
        <v>1430</v>
      </c>
    </row>
    <row r="44" spans="1:16">
      <c r="A44" s="167">
        <v>43</v>
      </c>
      <c r="B44" s="242" t="s">
        <v>1295</v>
      </c>
      <c r="C44" s="242" t="s">
        <v>1255</v>
      </c>
      <c r="D44" s="242" t="s">
        <v>1389</v>
      </c>
      <c r="E44" s="1">
        <v>1431.64</v>
      </c>
      <c r="F44" s="257">
        <v>5.4300000000000001E-2</v>
      </c>
      <c r="G44" s="167">
        <v>388</v>
      </c>
      <c r="H44" s="167">
        <v>2649</v>
      </c>
      <c r="I44" s="261">
        <v>270</v>
      </c>
      <c r="J44" s="167">
        <v>292600</v>
      </c>
      <c r="K44" s="167">
        <v>56000</v>
      </c>
      <c r="L44" s="254">
        <v>0.53300000000000003</v>
      </c>
      <c r="N44" s="1"/>
      <c r="O44" s="134"/>
    </row>
    <row r="45" spans="1:16">
      <c r="A45" s="167">
        <v>44</v>
      </c>
      <c r="B45" s="242" t="s">
        <v>1296</v>
      </c>
      <c r="C45" s="242" t="s">
        <v>1247</v>
      </c>
      <c r="D45" s="242" t="s">
        <v>1380</v>
      </c>
      <c r="E45" s="1">
        <v>70.849999999999994</v>
      </c>
      <c r="F45" s="257">
        <v>0.128</v>
      </c>
      <c r="G45" s="167">
        <v>392</v>
      </c>
      <c r="H45" s="167">
        <v>16000</v>
      </c>
      <c r="I45" s="167">
        <v>1631</v>
      </c>
      <c r="J45" s="167">
        <v>49000</v>
      </c>
      <c r="K45" s="167">
        <v>10000</v>
      </c>
      <c r="L45" s="254">
        <v>0.499</v>
      </c>
      <c r="N45" s="1"/>
      <c r="O45" s="134"/>
    </row>
    <row r="46" spans="1:16">
      <c r="A46" s="167">
        <v>45</v>
      </c>
      <c r="B46" s="242" t="s">
        <v>1298</v>
      </c>
      <c r="C46" s="242" t="s">
        <v>1299</v>
      </c>
      <c r="D46" s="242" t="s">
        <v>1380</v>
      </c>
      <c r="E46" s="1">
        <v>70.849999999999994</v>
      </c>
      <c r="F46" s="257">
        <v>0.128</v>
      </c>
      <c r="G46" s="167">
        <v>494</v>
      </c>
      <c r="H46" s="167">
        <v>19620</v>
      </c>
      <c r="I46" s="167">
        <v>2000</v>
      </c>
      <c r="J46" s="167">
        <v>50400</v>
      </c>
      <c r="K46" s="167">
        <v>114116</v>
      </c>
      <c r="L46" s="242">
        <v>4.4999999999999998E-2</v>
      </c>
      <c r="N46" s="1"/>
      <c r="O46" s="134"/>
    </row>
    <row r="47" spans="1:16">
      <c r="A47" s="167">
        <v>46</v>
      </c>
      <c r="B47" s="242" t="s">
        <v>1300</v>
      </c>
      <c r="C47" s="242" t="s">
        <v>1247</v>
      </c>
      <c r="D47" s="242" t="s">
        <v>1380</v>
      </c>
      <c r="E47" s="1">
        <v>70.849999999999994</v>
      </c>
      <c r="F47" s="257">
        <v>0.128</v>
      </c>
      <c r="G47" s="167">
        <v>511.5</v>
      </c>
      <c r="H47" s="167">
        <v>9200</v>
      </c>
      <c r="I47" s="261">
        <v>938</v>
      </c>
      <c r="J47" s="167">
        <v>111200</v>
      </c>
      <c r="K47" s="167">
        <v>3240</v>
      </c>
      <c r="L47" s="242">
        <v>3.4990000000000001</v>
      </c>
      <c r="N47" s="1"/>
      <c r="O47" s="134"/>
    </row>
    <row r="48" spans="1:16">
      <c r="A48" s="167">
        <v>47</v>
      </c>
      <c r="B48" s="242" t="s">
        <v>1301</v>
      </c>
      <c r="C48" s="242" t="s">
        <v>1255</v>
      </c>
      <c r="D48" s="242" t="s">
        <v>1390</v>
      </c>
      <c r="E48" s="1">
        <v>358.6</v>
      </c>
      <c r="F48" s="257">
        <v>0.03</v>
      </c>
      <c r="G48" s="167">
        <v>540</v>
      </c>
      <c r="H48" s="167">
        <v>4905</v>
      </c>
      <c r="I48" s="398">
        <v>500</v>
      </c>
      <c r="J48" s="167">
        <v>220000</v>
      </c>
      <c r="K48" s="167">
        <v>26667</v>
      </c>
      <c r="L48" s="242">
        <v>0.84099999999999997</v>
      </c>
      <c r="N48" s="1"/>
      <c r="O48" s="134"/>
    </row>
    <row r="49" spans="1:16">
      <c r="A49" s="167">
        <v>48</v>
      </c>
      <c r="B49" s="242" t="s">
        <v>1302</v>
      </c>
      <c r="C49" s="242" t="s">
        <v>1303</v>
      </c>
      <c r="D49" s="242" t="s">
        <v>1380</v>
      </c>
      <c r="E49" s="1">
        <v>70.849999999999994</v>
      </c>
      <c r="F49" s="257">
        <v>0.128</v>
      </c>
      <c r="G49" s="167">
        <v>553</v>
      </c>
      <c r="H49" s="167">
        <v>19620</v>
      </c>
      <c r="I49" s="167">
        <v>2000</v>
      </c>
      <c r="J49" s="167">
        <v>56400</v>
      </c>
      <c r="K49" s="167">
        <v>72566</v>
      </c>
      <c r="L49" s="242">
        <v>7.9000000000000001E-2</v>
      </c>
      <c r="N49" s="1"/>
      <c r="O49" s="134" t="s">
        <v>1423</v>
      </c>
      <c r="P49"/>
    </row>
    <row r="50" spans="1:16">
      <c r="A50" s="167">
        <v>49</v>
      </c>
      <c r="B50" s="242" t="s">
        <v>1304</v>
      </c>
      <c r="C50" s="242" t="s">
        <v>1247</v>
      </c>
      <c r="D50" s="242" t="s">
        <v>1380</v>
      </c>
      <c r="E50" s="1">
        <v>70.849999999999994</v>
      </c>
      <c r="F50" s="257">
        <v>0.128</v>
      </c>
      <c r="G50" s="167">
        <v>612</v>
      </c>
      <c r="H50" s="167">
        <v>9810</v>
      </c>
      <c r="I50" s="167">
        <v>1000</v>
      </c>
      <c r="J50" s="167">
        <v>124700</v>
      </c>
      <c r="K50" s="167">
        <v>33000</v>
      </c>
      <c r="L50" s="242">
        <v>0.38500000000000001</v>
      </c>
      <c r="N50" s="1">
        <v>60</v>
      </c>
      <c r="O50" s="134" t="s">
        <v>1406</v>
      </c>
      <c r="P50"/>
    </row>
    <row r="51" spans="1:16">
      <c r="A51" s="167">
        <v>50</v>
      </c>
      <c r="B51" s="242" t="s">
        <v>1305</v>
      </c>
      <c r="C51" s="242" t="s">
        <v>1297</v>
      </c>
      <c r="D51" s="242" t="s">
        <v>1414</v>
      </c>
      <c r="E51" s="1">
        <v>124.65</v>
      </c>
      <c r="F51" s="257">
        <v>0.04</v>
      </c>
      <c r="G51" s="167">
        <v>658.3</v>
      </c>
      <c r="H51" s="167">
        <v>19620</v>
      </c>
      <c r="I51" s="167">
        <v>2000</v>
      </c>
      <c r="J51" s="167">
        <v>67100</v>
      </c>
      <c r="K51" s="167">
        <v>54000</v>
      </c>
      <c r="L51" s="242">
        <v>0.127</v>
      </c>
      <c r="N51" s="1"/>
      <c r="O51" s="134"/>
      <c r="P51"/>
    </row>
    <row r="52" spans="1:16">
      <c r="A52" s="167">
        <v>51</v>
      </c>
      <c r="B52" s="242" t="s">
        <v>1306</v>
      </c>
      <c r="C52" s="242" t="s">
        <v>1247</v>
      </c>
      <c r="D52" s="242" t="s">
        <v>1380</v>
      </c>
      <c r="E52" s="1">
        <v>70.849999999999994</v>
      </c>
      <c r="F52" s="257">
        <v>0.128</v>
      </c>
      <c r="G52" s="167">
        <v>659</v>
      </c>
      <c r="H52" s="167">
        <v>9810</v>
      </c>
      <c r="I52" s="167">
        <v>1000</v>
      </c>
      <c r="J52" s="167">
        <v>134400</v>
      </c>
      <c r="K52" s="167">
        <v>32546</v>
      </c>
      <c r="L52" s="242">
        <v>0.42099999999999999</v>
      </c>
      <c r="N52" s="1"/>
      <c r="O52" s="134" t="s">
        <v>1408</v>
      </c>
      <c r="P52"/>
    </row>
    <row r="53" spans="1:16">
      <c r="A53" s="167">
        <v>52</v>
      </c>
      <c r="B53" s="242" t="s">
        <v>1307</v>
      </c>
      <c r="C53" s="242" t="s">
        <v>1250</v>
      </c>
      <c r="D53" s="242" t="s">
        <v>1431</v>
      </c>
      <c r="E53" s="1">
        <v>1870</v>
      </c>
      <c r="F53" s="257">
        <v>0</v>
      </c>
      <c r="G53" s="167">
        <v>667</v>
      </c>
      <c r="H53" s="167">
        <v>156960</v>
      </c>
      <c r="I53" s="167">
        <v>16000</v>
      </c>
      <c r="J53" s="167">
        <v>8500</v>
      </c>
      <c r="K53" s="167">
        <v>193333</v>
      </c>
      <c r="L53" s="260">
        <v>4.0000000000000001E-3</v>
      </c>
      <c r="N53" s="1"/>
      <c r="O53" s="134" t="s">
        <v>1432</v>
      </c>
      <c r="P53"/>
    </row>
    <row r="54" spans="1:16">
      <c r="A54" s="167">
        <v>53</v>
      </c>
      <c r="B54" s="242" t="s">
        <v>1308</v>
      </c>
      <c r="C54" s="242" t="s">
        <v>1262</v>
      </c>
      <c r="D54" s="242" t="s">
        <v>1422</v>
      </c>
      <c r="E54" s="1">
        <v>71</v>
      </c>
      <c r="F54" s="257">
        <v>0.04</v>
      </c>
      <c r="G54" s="167">
        <v>730</v>
      </c>
      <c r="H54" s="167">
        <v>313900</v>
      </c>
      <c r="I54" s="167">
        <v>32000</v>
      </c>
      <c r="J54" s="167">
        <v>4651</v>
      </c>
      <c r="K54" s="167">
        <v>268961</v>
      </c>
      <c r="L54" s="260">
        <v>2E-3</v>
      </c>
      <c r="N54" s="1"/>
      <c r="O54" s="134" t="s">
        <v>1421</v>
      </c>
      <c r="P54"/>
    </row>
    <row r="55" spans="1:16">
      <c r="A55" s="167">
        <v>54</v>
      </c>
      <c r="B55" s="242" t="s">
        <v>1309</v>
      </c>
      <c r="C55" s="242" t="s">
        <v>1247</v>
      </c>
      <c r="D55" s="242" t="s">
        <v>1380</v>
      </c>
      <c r="E55" s="1">
        <v>70.849999999999994</v>
      </c>
      <c r="F55" s="257">
        <v>0.128</v>
      </c>
      <c r="G55" s="167">
        <v>847</v>
      </c>
      <c r="H55" s="167">
        <v>9810</v>
      </c>
      <c r="I55" s="167">
        <v>1000</v>
      </c>
      <c r="J55" s="167">
        <v>172700</v>
      </c>
      <c r="K55" s="167">
        <v>58000</v>
      </c>
      <c r="L55" s="260">
        <v>0.30399999999999999</v>
      </c>
      <c r="N55" s="1">
        <v>60</v>
      </c>
      <c r="O55" s="134" t="s">
        <v>1406</v>
      </c>
      <c r="P55"/>
    </row>
    <row r="56" spans="1:16">
      <c r="A56" s="167">
        <v>55</v>
      </c>
      <c r="B56" s="242" t="s">
        <v>1310</v>
      </c>
      <c r="C56" s="242" t="s">
        <v>1247</v>
      </c>
      <c r="D56" s="242" t="s">
        <v>1380</v>
      </c>
      <c r="E56" s="1">
        <v>70.849999999999994</v>
      </c>
      <c r="F56" s="257">
        <v>0.128</v>
      </c>
      <c r="G56" s="167">
        <v>898</v>
      </c>
      <c r="H56" s="167">
        <v>8980</v>
      </c>
      <c r="I56" s="398">
        <v>915</v>
      </c>
      <c r="J56" s="167">
        <v>200000</v>
      </c>
      <c r="K56" s="167">
        <v>6672</v>
      </c>
      <c r="L56" s="242">
        <v>3.056</v>
      </c>
      <c r="N56" s="1">
        <v>2.5000000000000001E-2</v>
      </c>
      <c r="O56" s="134" t="s">
        <v>1406</v>
      </c>
      <c r="P56"/>
    </row>
    <row r="57" spans="1:16">
      <c r="A57" s="167">
        <v>56</v>
      </c>
      <c r="B57" s="242" t="s">
        <v>269</v>
      </c>
      <c r="C57" s="242" t="s">
        <v>1245</v>
      </c>
      <c r="D57" s="242" t="s">
        <v>148</v>
      </c>
      <c r="E57" s="1">
        <v>1395.4</v>
      </c>
      <c r="F57" s="257">
        <v>5.0999999999999997E-2</v>
      </c>
      <c r="G57" s="167">
        <v>1050</v>
      </c>
      <c r="H57" s="167">
        <v>210000</v>
      </c>
      <c r="I57" s="167">
        <v>21407</v>
      </c>
      <c r="J57" s="167">
        <v>10000</v>
      </c>
      <c r="K57" s="167">
        <v>400000</v>
      </c>
      <c r="L57" s="398">
        <v>3.0000000000000001E-3</v>
      </c>
      <c r="M57" s="248">
        <v>0.96</v>
      </c>
      <c r="N57" s="1"/>
      <c r="O57" s="134"/>
      <c r="P57"/>
    </row>
    <row r="58" spans="1:16">
      <c r="A58" s="167">
        <v>57</v>
      </c>
      <c r="B58" s="242" t="s">
        <v>1311</v>
      </c>
      <c r="C58" s="242" t="s">
        <v>1247</v>
      </c>
      <c r="D58" s="242" t="s">
        <v>1380</v>
      </c>
      <c r="E58" s="1">
        <v>70.849999999999994</v>
      </c>
      <c r="F58" s="257">
        <v>0.128</v>
      </c>
      <c r="G58" s="167">
        <v>1350</v>
      </c>
      <c r="H58" s="167">
        <v>8085</v>
      </c>
      <c r="I58" s="398">
        <v>824</v>
      </c>
      <c r="J58" s="167">
        <v>334061</v>
      </c>
      <c r="K58" s="167">
        <v>10100</v>
      </c>
      <c r="L58" s="242">
        <v>3.3719999999999999</v>
      </c>
      <c r="N58" s="1"/>
      <c r="O58" s="134"/>
      <c r="P58"/>
    </row>
    <row r="59" spans="1:16">
      <c r="A59" s="167">
        <v>58</v>
      </c>
      <c r="B59" s="242" t="s">
        <v>1312</v>
      </c>
      <c r="C59" s="242" t="s">
        <v>1250</v>
      </c>
      <c r="D59" s="242" t="s">
        <v>0</v>
      </c>
      <c r="E59" s="1">
        <v>920</v>
      </c>
      <c r="F59" s="257">
        <v>0</v>
      </c>
      <c r="G59" s="167">
        <v>1362</v>
      </c>
      <c r="H59" s="167">
        <v>78480</v>
      </c>
      <c r="I59" s="167">
        <v>8000</v>
      </c>
      <c r="J59" s="167">
        <v>34700</v>
      </c>
      <c r="K59" s="167">
        <v>180000</v>
      </c>
      <c r="L59" s="398">
        <v>0.02</v>
      </c>
      <c r="N59" s="1"/>
      <c r="O59" s="134" t="s">
        <v>1489</v>
      </c>
      <c r="P59"/>
    </row>
    <row r="60" spans="1:16">
      <c r="A60" s="167">
        <v>59</v>
      </c>
      <c r="B60" s="242" t="s">
        <v>1313</v>
      </c>
      <c r="C60" s="242" t="s">
        <v>1314</v>
      </c>
      <c r="D60" s="242" t="s">
        <v>1388</v>
      </c>
      <c r="E60" s="1">
        <v>300</v>
      </c>
      <c r="F60" s="257">
        <v>0.15</v>
      </c>
      <c r="G60" s="167">
        <v>1376</v>
      </c>
      <c r="H60" s="167">
        <v>43000</v>
      </c>
      <c r="I60" s="167">
        <v>4383</v>
      </c>
      <c r="J60" s="167">
        <v>64000</v>
      </c>
      <c r="K60" s="167">
        <v>10000</v>
      </c>
      <c r="L60" s="398">
        <v>0.65200000000000002</v>
      </c>
      <c r="N60" s="1"/>
      <c r="O60" s="134"/>
      <c r="P60"/>
    </row>
    <row r="61" spans="1:16">
      <c r="A61" s="167">
        <v>60</v>
      </c>
      <c r="B61" s="242" t="s">
        <v>1315</v>
      </c>
      <c r="C61" s="242" t="s">
        <v>1250</v>
      </c>
      <c r="D61" s="261" t="s">
        <v>404</v>
      </c>
      <c r="E61" s="1">
        <v>534</v>
      </c>
      <c r="F61" s="257">
        <v>3.6999999999999998E-2</v>
      </c>
      <c r="G61" s="167">
        <v>1570</v>
      </c>
      <c r="H61" s="167">
        <v>156960</v>
      </c>
      <c r="I61" s="167">
        <v>16000</v>
      </c>
      <c r="J61" s="167">
        <v>20000</v>
      </c>
      <c r="K61" s="167">
        <v>106667</v>
      </c>
      <c r="L61" s="242">
        <v>1.9E-2</v>
      </c>
      <c r="N61" s="1"/>
      <c r="O61" s="134" t="s">
        <v>1433</v>
      </c>
      <c r="P61"/>
    </row>
    <row r="62" spans="1:16">
      <c r="A62" s="167">
        <v>61</v>
      </c>
      <c r="B62" s="242" t="s">
        <v>1316</v>
      </c>
      <c r="C62" s="242" t="s">
        <v>1247</v>
      </c>
      <c r="D62" s="242" t="s">
        <v>1380</v>
      </c>
      <c r="E62" s="1">
        <v>70.849999999999994</v>
      </c>
      <c r="F62" s="257">
        <v>0.128</v>
      </c>
      <c r="G62" s="167">
        <v>1590</v>
      </c>
      <c r="H62" s="167">
        <v>9530</v>
      </c>
      <c r="I62" s="261">
        <v>971</v>
      </c>
      <c r="J62" s="167">
        <v>333617</v>
      </c>
      <c r="K62" s="167">
        <v>1700</v>
      </c>
      <c r="L62" s="242">
        <v>20.004999999999999</v>
      </c>
      <c r="N62" s="1"/>
      <c r="O62" s="134"/>
      <c r="P62"/>
    </row>
    <row r="63" spans="1:16">
      <c r="A63" s="167">
        <v>62</v>
      </c>
      <c r="B63" s="242" t="s">
        <v>1317</v>
      </c>
      <c r="C63" s="242" t="s">
        <v>1318</v>
      </c>
      <c r="D63" s="242" t="s">
        <v>1380</v>
      </c>
      <c r="E63" s="1">
        <v>70.849999999999994</v>
      </c>
      <c r="F63" s="257">
        <v>0.128</v>
      </c>
      <c r="G63" s="167">
        <v>1617</v>
      </c>
      <c r="H63" s="167">
        <v>9800</v>
      </c>
      <c r="I63" s="398">
        <v>999</v>
      </c>
      <c r="J63" s="167">
        <v>330000</v>
      </c>
      <c r="K63" s="167">
        <v>6830</v>
      </c>
      <c r="L63" s="242">
        <v>4.9249999999999998</v>
      </c>
      <c r="N63" s="1"/>
      <c r="O63" s="134" t="s">
        <v>1409</v>
      </c>
      <c r="P63"/>
    </row>
    <row r="64" spans="1:16">
      <c r="A64" s="167">
        <v>63</v>
      </c>
      <c r="B64" s="242" t="s">
        <v>1319</v>
      </c>
      <c r="C64" s="242" t="s">
        <v>1247</v>
      </c>
      <c r="D64" s="242" t="s">
        <v>1380</v>
      </c>
      <c r="E64" s="1">
        <v>70.849999999999994</v>
      </c>
      <c r="F64" s="257">
        <v>0.128</v>
      </c>
      <c r="G64" s="167">
        <v>1650</v>
      </c>
      <c r="H64" s="167">
        <v>9420</v>
      </c>
      <c r="I64" s="260">
        <v>960</v>
      </c>
      <c r="J64" s="167">
        <v>330000</v>
      </c>
      <c r="K64" s="167">
        <v>5260</v>
      </c>
      <c r="L64" s="242">
        <v>6.4</v>
      </c>
      <c r="N64" s="1"/>
      <c r="O64" s="134"/>
      <c r="P64"/>
    </row>
    <row r="65" spans="1:16">
      <c r="A65" s="167">
        <v>64</v>
      </c>
      <c r="B65" s="242" t="s">
        <v>1320</v>
      </c>
      <c r="C65" s="242" t="s">
        <v>1297</v>
      </c>
      <c r="D65" s="242" t="s">
        <v>1415</v>
      </c>
      <c r="E65" s="1">
        <v>86.55</v>
      </c>
      <c r="F65" s="257">
        <v>0.15</v>
      </c>
      <c r="G65" s="167">
        <v>1664</v>
      </c>
      <c r="H65" s="167">
        <v>313920</v>
      </c>
      <c r="I65" s="167">
        <v>32000</v>
      </c>
      <c r="J65" s="167">
        <v>10600</v>
      </c>
      <c r="K65" s="167">
        <v>106667</v>
      </c>
      <c r="L65" s="242">
        <v>0.01</v>
      </c>
      <c r="N65" s="1"/>
      <c r="O65" s="134"/>
      <c r="P65"/>
    </row>
    <row r="66" spans="1:16">
      <c r="A66" s="167">
        <v>65</v>
      </c>
      <c r="B66" s="242" t="s">
        <v>1321</v>
      </c>
      <c r="C66" s="242" t="s">
        <v>1297</v>
      </c>
      <c r="D66" s="398" t="s">
        <v>1417</v>
      </c>
      <c r="E66" s="1">
        <v>160</v>
      </c>
      <c r="F66" s="257">
        <v>0.1086</v>
      </c>
      <c r="G66" s="167">
        <v>2005</v>
      </c>
      <c r="H66" s="167">
        <v>691460</v>
      </c>
      <c r="I66" s="167">
        <v>70490</v>
      </c>
      <c r="J66" s="167">
        <v>5798</v>
      </c>
      <c r="K66" s="167">
        <v>116021</v>
      </c>
      <c r="L66" s="242">
        <v>5.0000000000000001E-3</v>
      </c>
      <c r="N66" s="1"/>
      <c r="O66" s="134" t="s">
        <v>1418</v>
      </c>
      <c r="P66"/>
    </row>
    <row r="67" spans="1:16">
      <c r="A67" s="167">
        <v>66</v>
      </c>
      <c r="B67" s="242" t="s">
        <v>1322</v>
      </c>
      <c r="C67" s="242" t="s">
        <v>1247</v>
      </c>
      <c r="D67" s="242" t="s">
        <v>1380</v>
      </c>
      <c r="E67" s="1">
        <v>70.849999999999994</v>
      </c>
      <c r="F67" s="257">
        <v>0.128</v>
      </c>
      <c r="G67" s="167">
        <v>2030</v>
      </c>
      <c r="H67" s="167">
        <v>9120</v>
      </c>
      <c r="I67" s="398">
        <v>930</v>
      </c>
      <c r="J67" s="167">
        <v>445267</v>
      </c>
      <c r="K67" s="167">
        <v>9000</v>
      </c>
      <c r="L67" s="242">
        <v>5.0430000000000001</v>
      </c>
      <c r="N67" s="1"/>
      <c r="O67" s="134"/>
      <c r="P67"/>
    </row>
    <row r="68" spans="1:16">
      <c r="A68" s="167">
        <v>67</v>
      </c>
      <c r="B68" s="242" t="s">
        <v>1323</v>
      </c>
      <c r="C68" s="242" t="s">
        <v>1297</v>
      </c>
      <c r="D68" s="242" t="s">
        <v>1416</v>
      </c>
      <c r="E68" s="1">
        <v>185.26300000000001</v>
      </c>
      <c r="F68" s="257">
        <v>5.0999999999999997E-2</v>
      </c>
      <c r="G68" s="167">
        <v>2231</v>
      </c>
      <c r="H68" s="167">
        <v>66800</v>
      </c>
      <c r="I68" s="167">
        <v>6809</v>
      </c>
      <c r="J68" s="167">
        <v>66800</v>
      </c>
      <c r="K68" s="167">
        <v>197000</v>
      </c>
      <c r="L68" s="242">
        <v>3.5000000000000003E-2</v>
      </c>
      <c r="N68" s="1"/>
      <c r="O68" s="134"/>
      <c r="P68"/>
    </row>
    <row r="69" spans="1:16">
      <c r="A69" s="167">
        <v>68</v>
      </c>
      <c r="B69" s="242" t="s">
        <v>1324</v>
      </c>
      <c r="C69" s="242" t="s">
        <v>1325</v>
      </c>
      <c r="D69" s="242" t="s">
        <v>1380</v>
      </c>
      <c r="E69" s="1">
        <v>70.849999999999994</v>
      </c>
      <c r="F69" s="257">
        <v>0.128</v>
      </c>
      <c r="G69" s="167">
        <v>2370</v>
      </c>
      <c r="H69" s="167">
        <v>10790</v>
      </c>
      <c r="I69" s="167">
        <v>1100</v>
      </c>
      <c r="J69" s="167">
        <v>440000</v>
      </c>
      <c r="K69" s="167">
        <v>10940</v>
      </c>
      <c r="L69" s="242">
        <v>4.0999999999999996</v>
      </c>
      <c r="N69" s="1"/>
      <c r="O69" s="134" t="s">
        <v>1412</v>
      </c>
      <c r="P69"/>
    </row>
    <row r="70" spans="1:16">
      <c r="A70" s="167">
        <v>69</v>
      </c>
      <c r="B70" s="242" t="s">
        <v>1326</v>
      </c>
      <c r="C70" s="242" t="s">
        <v>1262</v>
      </c>
      <c r="D70" s="242" t="s">
        <v>1419</v>
      </c>
      <c r="E70" s="1">
        <v>19000</v>
      </c>
      <c r="F70" s="257">
        <v>0</v>
      </c>
      <c r="G70" s="167">
        <v>2580</v>
      </c>
      <c r="H70" s="167">
        <v>15000000</v>
      </c>
      <c r="I70" s="167">
        <v>1529052</v>
      </c>
      <c r="J70" s="398">
        <v>344</v>
      </c>
      <c r="K70" s="167">
        <v>9000</v>
      </c>
      <c r="L70" s="242">
        <v>4.0000000000000001E-3</v>
      </c>
      <c r="N70" s="1"/>
      <c r="O70" s="134"/>
      <c r="P70"/>
    </row>
    <row r="71" spans="1:16">
      <c r="A71" s="167">
        <v>70</v>
      </c>
      <c r="B71" s="242" t="s">
        <v>1327</v>
      </c>
      <c r="C71" s="242" t="s">
        <v>1255</v>
      </c>
      <c r="D71" s="242" t="s">
        <v>1381</v>
      </c>
      <c r="E71" s="1">
        <v>1177.8</v>
      </c>
      <c r="F71" s="257">
        <v>1.04E-2</v>
      </c>
      <c r="G71" s="167">
        <v>2836</v>
      </c>
      <c r="H71" s="167">
        <v>3100</v>
      </c>
      <c r="I71" s="398">
        <v>316</v>
      </c>
      <c r="J71" s="167">
        <v>1830000</v>
      </c>
      <c r="K71" s="167">
        <v>1260</v>
      </c>
      <c r="L71" s="242">
        <v>148.05099999999999</v>
      </c>
      <c r="N71" s="1"/>
      <c r="O71" s="134"/>
      <c r="P71"/>
    </row>
    <row r="72" spans="1:16">
      <c r="A72" s="167">
        <v>71</v>
      </c>
      <c r="B72" s="242" t="s">
        <v>1329</v>
      </c>
      <c r="C72" s="242" t="s">
        <v>1249</v>
      </c>
      <c r="D72" s="242" t="s">
        <v>402</v>
      </c>
      <c r="E72" s="1">
        <v>125</v>
      </c>
      <c r="F72" s="257">
        <v>5.0999999999999997E-2</v>
      </c>
      <c r="G72" s="167">
        <v>3140</v>
      </c>
      <c r="H72" s="167">
        <v>314000</v>
      </c>
      <c r="I72" s="167">
        <v>32008</v>
      </c>
      <c r="J72" s="167">
        <v>20000</v>
      </c>
      <c r="K72" s="167">
        <v>1540000</v>
      </c>
      <c r="L72" s="242">
        <v>1E-3</v>
      </c>
      <c r="M72" s="248">
        <v>0.79</v>
      </c>
      <c r="N72" s="1"/>
      <c r="O72" s="134"/>
      <c r="P72"/>
    </row>
    <row r="73" spans="1:16">
      <c r="A73" s="167">
        <v>72</v>
      </c>
      <c r="B73" s="242" t="s">
        <v>1330</v>
      </c>
      <c r="C73" s="242" t="s">
        <v>1250</v>
      </c>
      <c r="D73" s="242" t="s">
        <v>1434</v>
      </c>
      <c r="E73" s="1">
        <v>235.179</v>
      </c>
      <c r="F73" s="257">
        <v>0.11509999999999999</v>
      </c>
      <c r="G73" s="167">
        <v>3617</v>
      </c>
      <c r="H73" s="167">
        <v>189780</v>
      </c>
      <c r="I73" s="167">
        <v>19346</v>
      </c>
      <c r="J73" s="167">
        <v>38120</v>
      </c>
      <c r="K73" s="167">
        <v>95138</v>
      </c>
      <c r="L73" s="242">
        <v>4.1000000000000002E-2</v>
      </c>
      <c r="N73" s="1"/>
      <c r="O73" s="134"/>
      <c r="P73"/>
    </row>
    <row r="74" spans="1:16">
      <c r="A74" s="167">
        <v>73</v>
      </c>
      <c r="B74" s="242" t="s">
        <v>1331</v>
      </c>
      <c r="C74" s="242" t="s">
        <v>1303</v>
      </c>
      <c r="D74" s="242" t="s">
        <v>1380</v>
      </c>
      <c r="E74" s="1">
        <v>70.849999999999994</v>
      </c>
      <c r="F74" s="257">
        <v>0.128</v>
      </c>
      <c r="G74" s="167">
        <v>4540</v>
      </c>
      <c r="H74" s="167">
        <v>20405</v>
      </c>
      <c r="I74" s="167">
        <v>2080</v>
      </c>
      <c r="J74" s="167">
        <v>445000</v>
      </c>
      <c r="K74" s="167">
        <v>56800</v>
      </c>
      <c r="L74" s="242">
        <v>0.79900000000000004</v>
      </c>
      <c r="N74" s="1"/>
      <c r="O74" s="134"/>
      <c r="P74"/>
    </row>
    <row r="75" spans="1:16">
      <c r="A75" s="167">
        <v>74</v>
      </c>
      <c r="B75" s="242" t="s">
        <v>1332</v>
      </c>
      <c r="C75" s="242" t="s">
        <v>1247</v>
      </c>
      <c r="D75" s="242" t="s">
        <v>1398</v>
      </c>
      <c r="E75" s="1">
        <v>800</v>
      </c>
      <c r="F75" s="257">
        <v>1.8180000000000002E-2</v>
      </c>
      <c r="G75" s="167">
        <v>4636</v>
      </c>
      <c r="H75" s="167">
        <v>2649</v>
      </c>
      <c r="I75" s="398">
        <v>270</v>
      </c>
      <c r="J75" s="167">
        <v>3500000</v>
      </c>
      <c r="K75" s="167">
        <v>5000</v>
      </c>
      <c r="L75" s="242">
        <v>71.355999999999995</v>
      </c>
      <c r="N75" s="1"/>
      <c r="O75" s="134"/>
      <c r="P75"/>
    </row>
    <row r="76" spans="1:16">
      <c r="A76" s="167">
        <v>75</v>
      </c>
      <c r="B76" s="242" t="s">
        <v>1333</v>
      </c>
      <c r="C76" s="242" t="s">
        <v>1247</v>
      </c>
      <c r="D76" s="242" t="s">
        <v>1380</v>
      </c>
      <c r="E76" s="1">
        <v>70.849999999999994</v>
      </c>
      <c r="F76" s="257">
        <v>0.128</v>
      </c>
      <c r="G76" s="167">
        <v>4714</v>
      </c>
      <c r="H76" s="167">
        <v>8980</v>
      </c>
      <c r="I76" s="260">
        <v>915</v>
      </c>
      <c r="J76" s="167">
        <v>1050000</v>
      </c>
      <c r="K76" s="167">
        <v>4200</v>
      </c>
      <c r="L76" s="242">
        <v>25.484000000000002</v>
      </c>
      <c r="N76" s="1"/>
      <c r="O76" s="134"/>
      <c r="P76"/>
    </row>
    <row r="77" spans="1:16">
      <c r="A77" s="167">
        <v>76</v>
      </c>
      <c r="B77" s="242" t="s">
        <v>1334</v>
      </c>
      <c r="C77" s="242" t="s">
        <v>1250</v>
      </c>
      <c r="D77" s="242" t="s">
        <v>89</v>
      </c>
      <c r="E77" s="1">
        <v>1514.2</v>
      </c>
      <c r="F77" s="257">
        <v>0</v>
      </c>
      <c r="G77" s="167">
        <v>5654</v>
      </c>
      <c r="H77" s="167">
        <v>43000</v>
      </c>
      <c r="I77" s="167">
        <v>4383</v>
      </c>
      <c r="J77" s="167">
        <v>263000</v>
      </c>
      <c r="K77" s="167">
        <v>200000</v>
      </c>
      <c r="L77" s="242">
        <v>0.13400000000000001</v>
      </c>
      <c r="N77" s="1"/>
      <c r="O77" s="134"/>
      <c r="P77"/>
    </row>
    <row r="78" spans="1:16">
      <c r="A78" s="167">
        <v>77</v>
      </c>
      <c r="B78" s="242" t="s">
        <v>1335</v>
      </c>
      <c r="C78" s="242" t="s">
        <v>1247</v>
      </c>
      <c r="D78" s="242" t="s">
        <v>823</v>
      </c>
      <c r="E78" s="1">
        <v>1101</v>
      </c>
      <c r="F78" s="257">
        <v>5.5500000000000002E-3</v>
      </c>
      <c r="G78" s="167">
        <v>5786</v>
      </c>
      <c r="H78" s="167">
        <v>3306</v>
      </c>
      <c r="I78" s="260">
        <v>337</v>
      </c>
      <c r="J78" s="167">
        <v>3500000</v>
      </c>
      <c r="K78" s="167">
        <v>5000</v>
      </c>
      <c r="L78" s="242">
        <v>71.355999999999995</v>
      </c>
      <c r="N78" s="1"/>
      <c r="O78" s="134"/>
      <c r="P78"/>
    </row>
    <row r="79" spans="1:16">
      <c r="A79" s="167">
        <v>78</v>
      </c>
      <c r="B79" s="242" t="s">
        <v>1336</v>
      </c>
      <c r="C79" s="242" t="s">
        <v>1247</v>
      </c>
      <c r="D79" s="242" t="s">
        <v>63</v>
      </c>
      <c r="E79" s="1">
        <v>999.8</v>
      </c>
      <c r="F79" s="257">
        <v>1.4279999999999999E-2</v>
      </c>
      <c r="G79" s="167">
        <v>7074</v>
      </c>
      <c r="H79" s="167">
        <v>4042</v>
      </c>
      <c r="I79" s="398">
        <v>412</v>
      </c>
      <c r="J79" s="167">
        <v>3500000</v>
      </c>
      <c r="K79" s="167">
        <v>5000</v>
      </c>
      <c r="L79" s="242">
        <v>71.355999999999995</v>
      </c>
      <c r="N79" s="1"/>
      <c r="O79" s="134"/>
      <c r="P79"/>
    </row>
    <row r="80" spans="1:16">
      <c r="A80" s="167">
        <v>79</v>
      </c>
      <c r="B80" s="242" t="s">
        <v>1337</v>
      </c>
      <c r="C80" s="242" t="s">
        <v>1247</v>
      </c>
      <c r="D80" s="242" t="s">
        <v>828</v>
      </c>
      <c r="E80" s="1">
        <v>681.9</v>
      </c>
      <c r="F80" s="257">
        <v>0.01</v>
      </c>
      <c r="G80" s="167">
        <v>8927</v>
      </c>
      <c r="H80" s="167">
        <v>5101</v>
      </c>
      <c r="I80" s="398">
        <v>520</v>
      </c>
      <c r="J80" s="167">
        <v>3500000</v>
      </c>
      <c r="K80" s="167">
        <v>5000</v>
      </c>
      <c r="L80" s="242">
        <v>71.355999999999995</v>
      </c>
      <c r="N80" s="1"/>
      <c r="O80" s="134"/>
      <c r="P80"/>
    </row>
    <row r="81" spans="1:16">
      <c r="A81" s="167">
        <v>80</v>
      </c>
      <c r="B81" s="242" t="s">
        <v>1338</v>
      </c>
      <c r="C81" s="242" t="s">
        <v>1250</v>
      </c>
      <c r="D81" s="242" t="s">
        <v>89</v>
      </c>
      <c r="E81" s="1">
        <v>1514.2</v>
      </c>
      <c r="F81" s="257">
        <v>0</v>
      </c>
      <c r="G81" s="167">
        <v>10658</v>
      </c>
      <c r="H81" s="167">
        <v>73000</v>
      </c>
      <c r="I81" s="167">
        <v>7441</v>
      </c>
      <c r="J81" s="167">
        <v>292000</v>
      </c>
      <c r="K81" s="167">
        <v>200000</v>
      </c>
      <c r="L81" s="242">
        <v>0.14899999999999999</v>
      </c>
      <c r="N81" s="1"/>
      <c r="O81" s="134"/>
      <c r="P81"/>
    </row>
    <row r="82" spans="1:16">
      <c r="A82" s="167">
        <v>81</v>
      </c>
      <c r="B82" s="242" t="s">
        <v>1339</v>
      </c>
      <c r="C82" s="242" t="s">
        <v>1247</v>
      </c>
      <c r="D82" s="242" t="s">
        <v>1397</v>
      </c>
      <c r="E82" s="1">
        <v>422.62</v>
      </c>
      <c r="F82" s="257">
        <v>4.2999999999999997E-2</v>
      </c>
      <c r="G82" s="167">
        <v>11056</v>
      </c>
      <c r="H82" s="167">
        <v>6318</v>
      </c>
      <c r="I82" s="261">
        <v>644</v>
      </c>
      <c r="J82" s="167">
        <v>3500000</v>
      </c>
      <c r="K82" s="167">
        <v>5000</v>
      </c>
      <c r="L82" s="261">
        <v>71.355999999999995</v>
      </c>
      <c r="N82" s="1"/>
      <c r="O82" s="134"/>
      <c r="P82"/>
    </row>
    <row r="83" spans="1:16">
      <c r="A83" s="167">
        <v>82</v>
      </c>
      <c r="B83" s="242" t="s">
        <v>1340</v>
      </c>
      <c r="C83" s="242" t="s">
        <v>1255</v>
      </c>
      <c r="D83" s="242" t="s">
        <v>1392</v>
      </c>
      <c r="E83" s="1">
        <v>1033.2</v>
      </c>
      <c r="F83" s="257">
        <v>0.03</v>
      </c>
      <c r="G83" s="167">
        <v>11541</v>
      </c>
      <c r="H83" s="167">
        <v>2982</v>
      </c>
      <c r="I83" s="398">
        <v>304</v>
      </c>
      <c r="J83" s="167">
        <v>7740500</v>
      </c>
      <c r="K83" s="167">
        <v>9153</v>
      </c>
      <c r="L83" s="261">
        <v>86.206000000000003</v>
      </c>
      <c r="N83" s="1"/>
      <c r="O83" s="134"/>
      <c r="P83"/>
    </row>
    <row r="84" spans="1:16">
      <c r="A84" s="167">
        <v>83</v>
      </c>
      <c r="B84" s="242" t="s">
        <v>1341</v>
      </c>
      <c r="C84" s="242" t="s">
        <v>1250</v>
      </c>
      <c r="D84" s="242" t="s">
        <v>1482</v>
      </c>
      <c r="E84" s="1">
        <v>3745.13</v>
      </c>
      <c r="F84" s="257">
        <v>0.01</v>
      </c>
      <c r="G84" s="167">
        <v>11919</v>
      </c>
      <c r="H84" s="167">
        <v>132435</v>
      </c>
      <c r="I84" s="167">
        <v>13500</v>
      </c>
      <c r="J84" s="167">
        <v>180000</v>
      </c>
      <c r="K84" s="167">
        <v>27000</v>
      </c>
      <c r="L84" s="242">
        <v>0.68</v>
      </c>
      <c r="N84" s="1"/>
      <c r="O84" s="134" t="s">
        <v>1481</v>
      </c>
      <c r="P84"/>
    </row>
    <row r="85" spans="1:16">
      <c r="A85" s="167">
        <v>84</v>
      </c>
      <c r="B85" s="242" t="s">
        <v>1342</v>
      </c>
      <c r="C85" s="242" t="s">
        <v>1255</v>
      </c>
      <c r="D85" s="242" t="s">
        <v>1390</v>
      </c>
      <c r="E85" s="1">
        <v>358.6</v>
      </c>
      <c r="F85" s="257">
        <v>3.5999999999999997E-2</v>
      </c>
      <c r="G85" s="167">
        <v>12115</v>
      </c>
      <c r="H85" s="167">
        <v>4444</v>
      </c>
      <c r="I85" s="253">
        <v>453</v>
      </c>
      <c r="J85" s="167">
        <v>5452200</v>
      </c>
      <c r="K85" s="167">
        <v>9531</v>
      </c>
      <c r="L85" s="242">
        <v>58.313000000000002</v>
      </c>
      <c r="N85" s="1"/>
      <c r="O85" s="134"/>
      <c r="P85"/>
    </row>
    <row r="86" spans="1:16">
      <c r="A86" s="167">
        <v>85</v>
      </c>
      <c r="B86" s="242" t="s">
        <v>1343</v>
      </c>
      <c r="C86" s="242" t="s">
        <v>1247</v>
      </c>
      <c r="D86" s="242" t="s">
        <v>1380</v>
      </c>
      <c r="E86" s="1">
        <v>70.849999999999994</v>
      </c>
      <c r="F86" s="257">
        <v>0.128</v>
      </c>
      <c r="G86" s="167">
        <v>14163</v>
      </c>
      <c r="H86" s="167">
        <v>8093</v>
      </c>
      <c r="I86" s="398">
        <v>825</v>
      </c>
      <c r="J86" s="167">
        <v>3500000</v>
      </c>
      <c r="K86" s="167">
        <v>5000</v>
      </c>
      <c r="L86" s="242">
        <v>71.355999999999995</v>
      </c>
      <c r="N86" s="1"/>
      <c r="O86" s="134"/>
      <c r="P86"/>
    </row>
    <row r="87" spans="1:16">
      <c r="A87" s="167">
        <v>86</v>
      </c>
      <c r="B87" s="242" t="s">
        <v>1345</v>
      </c>
      <c r="C87" s="242" t="s">
        <v>1255</v>
      </c>
      <c r="D87" s="242" t="s">
        <v>1381</v>
      </c>
      <c r="E87" s="1">
        <v>1177.8</v>
      </c>
      <c r="F87" s="257">
        <v>1.04E-2</v>
      </c>
      <c r="G87" s="167">
        <v>16228</v>
      </c>
      <c r="H87" s="167">
        <v>3100</v>
      </c>
      <c r="I87" s="398">
        <v>316</v>
      </c>
      <c r="J87" s="167">
        <v>10470000</v>
      </c>
      <c r="K87" s="167">
        <v>7560</v>
      </c>
      <c r="L87" s="242">
        <v>141.17400000000001</v>
      </c>
      <c r="N87" s="1"/>
      <c r="O87" s="134"/>
      <c r="P87"/>
    </row>
    <row r="88" spans="1:16">
      <c r="A88" s="167">
        <v>87</v>
      </c>
      <c r="B88" s="242" t="s">
        <v>1346</v>
      </c>
      <c r="C88" s="242" t="s">
        <v>1250</v>
      </c>
      <c r="D88" s="242" t="s">
        <v>63</v>
      </c>
      <c r="E88" s="1">
        <v>1514.18</v>
      </c>
      <c r="F88" s="257">
        <v>0</v>
      </c>
      <c r="G88" s="167">
        <v>21731</v>
      </c>
      <c r="H88" s="167">
        <v>19620</v>
      </c>
      <c r="I88" s="167">
        <v>2000</v>
      </c>
      <c r="J88" s="167">
        <v>2215200</v>
      </c>
      <c r="K88" s="167">
        <v>203680</v>
      </c>
      <c r="L88" s="242">
        <v>1.109</v>
      </c>
      <c r="N88" s="1"/>
      <c r="O88" s="134" t="s">
        <v>1486</v>
      </c>
      <c r="P88"/>
    </row>
    <row r="89" spans="1:16">
      <c r="A89" s="167">
        <v>88</v>
      </c>
      <c r="B89" s="242" t="s">
        <v>1347</v>
      </c>
      <c r="C89" s="242" t="s">
        <v>1247</v>
      </c>
      <c r="D89" s="242" t="s">
        <v>1380</v>
      </c>
      <c r="E89" s="1">
        <v>70.849999999999994</v>
      </c>
      <c r="F89" s="257">
        <v>0.128</v>
      </c>
      <c r="G89" s="167">
        <v>27272</v>
      </c>
      <c r="H89" s="167">
        <v>9810</v>
      </c>
      <c r="I89" s="167">
        <v>1000</v>
      </c>
      <c r="J89" s="167">
        <v>5560000</v>
      </c>
      <c r="K89" s="167">
        <v>199600</v>
      </c>
      <c r="L89" s="242">
        <v>2.84</v>
      </c>
      <c r="N89" s="1"/>
      <c r="O89" s="134"/>
      <c r="P89"/>
    </row>
    <row r="90" spans="1:16">
      <c r="A90" s="167">
        <v>89</v>
      </c>
      <c r="B90" s="242" t="s">
        <v>1348</v>
      </c>
      <c r="C90" s="242" t="s">
        <v>1247</v>
      </c>
      <c r="D90" s="242" t="s">
        <v>1380</v>
      </c>
      <c r="E90" s="1">
        <v>70.849999999999994</v>
      </c>
      <c r="F90" s="257">
        <v>0.128</v>
      </c>
      <c r="G90" s="167">
        <v>28000</v>
      </c>
      <c r="H90" s="167">
        <v>16000</v>
      </c>
      <c r="I90" s="167">
        <v>1631</v>
      </c>
      <c r="J90" s="167">
        <v>3500000</v>
      </c>
      <c r="K90" s="167">
        <v>5000</v>
      </c>
      <c r="L90" s="259">
        <v>71.355999999999995</v>
      </c>
      <c r="N90" s="1"/>
      <c r="O90" s="134"/>
      <c r="P90"/>
    </row>
    <row r="91" spans="1:16">
      <c r="A91" s="167">
        <v>90</v>
      </c>
      <c r="B91" s="242" t="s">
        <v>1349</v>
      </c>
      <c r="C91" s="242" t="s">
        <v>1250</v>
      </c>
      <c r="D91" s="242" t="s">
        <v>1480</v>
      </c>
      <c r="E91" s="1">
        <v>3459.08</v>
      </c>
      <c r="F91" s="257">
        <v>0</v>
      </c>
      <c r="G91" s="167">
        <v>29853</v>
      </c>
      <c r="H91" s="167">
        <v>93000</v>
      </c>
      <c r="I91" s="167">
        <v>9480</v>
      </c>
      <c r="J91" s="167">
        <v>642000</v>
      </c>
      <c r="K91" s="167">
        <v>199600</v>
      </c>
      <c r="L91" s="242">
        <v>0.32800000000000001</v>
      </c>
      <c r="N91" s="1"/>
      <c r="O91" s="134" t="s">
        <v>1479</v>
      </c>
      <c r="P91"/>
    </row>
    <row r="92" spans="1:16">
      <c r="A92" s="167">
        <v>91</v>
      </c>
      <c r="B92" s="242" t="s">
        <v>1350</v>
      </c>
      <c r="C92" s="242" t="s">
        <v>1351</v>
      </c>
      <c r="D92" s="242" t="s">
        <v>63</v>
      </c>
      <c r="E92" s="1">
        <v>999.8</v>
      </c>
      <c r="F92" s="257">
        <v>1.4279999999999999E-2</v>
      </c>
      <c r="G92" s="167">
        <v>29890</v>
      </c>
      <c r="H92" s="167">
        <v>980000</v>
      </c>
      <c r="I92" s="167">
        <v>99898</v>
      </c>
      <c r="J92" s="167">
        <v>61000</v>
      </c>
      <c r="K92" s="167">
        <v>500000</v>
      </c>
      <c r="L92" s="242">
        <v>1.2E-2</v>
      </c>
      <c r="N92" s="1"/>
      <c r="O92" s="134" t="s">
        <v>1413</v>
      </c>
      <c r="P92"/>
    </row>
    <row r="93" spans="1:16">
      <c r="A93" s="167">
        <v>92</v>
      </c>
      <c r="B93" s="242" t="s">
        <v>1352</v>
      </c>
      <c r="C93" s="242" t="s">
        <v>1250</v>
      </c>
      <c r="D93" s="242" t="s">
        <v>1480</v>
      </c>
      <c r="E93" s="1">
        <v>3459.08</v>
      </c>
      <c r="F93" s="257">
        <v>0</v>
      </c>
      <c r="G93" s="167">
        <v>29906</v>
      </c>
      <c r="H93" s="167">
        <v>93164</v>
      </c>
      <c r="I93" s="167">
        <v>9497</v>
      </c>
      <c r="J93" s="167">
        <v>642000</v>
      </c>
      <c r="K93" s="167">
        <v>119046</v>
      </c>
      <c r="L93" s="242">
        <v>0.55000000000000004</v>
      </c>
      <c r="N93" s="1"/>
      <c r="O93" s="134"/>
      <c r="P93"/>
    </row>
    <row r="94" spans="1:16">
      <c r="A94" s="167">
        <v>93</v>
      </c>
      <c r="B94" s="242" t="s">
        <v>2142</v>
      </c>
      <c r="C94" s="242" t="s">
        <v>1344</v>
      </c>
      <c r="D94" s="242" t="s">
        <v>1393</v>
      </c>
      <c r="E94" s="1">
        <v>1721.1</v>
      </c>
      <c r="F94" s="257">
        <v>0.13500000000000001</v>
      </c>
      <c r="G94" s="167">
        <v>31200</v>
      </c>
      <c r="H94" s="167">
        <v>2600</v>
      </c>
      <c r="I94" s="261">
        <v>265</v>
      </c>
      <c r="J94" s="167">
        <v>24000000</v>
      </c>
      <c r="K94" s="167">
        <v>0</v>
      </c>
      <c r="L94" s="242">
        <v>2.073</v>
      </c>
      <c r="N94" s="1"/>
      <c r="O94" s="134"/>
      <c r="P94"/>
    </row>
    <row r="95" spans="1:16">
      <c r="A95" s="167">
        <v>94</v>
      </c>
      <c r="B95" s="242" t="s">
        <v>1353</v>
      </c>
      <c r="C95" s="242" t="s">
        <v>1250</v>
      </c>
      <c r="D95" s="242" t="s">
        <v>89</v>
      </c>
      <c r="E95" s="1">
        <v>1514.2</v>
      </c>
      <c r="F95" s="257">
        <v>0</v>
      </c>
      <c r="G95" s="167">
        <v>32900</v>
      </c>
      <c r="H95" s="167">
        <v>32900</v>
      </c>
      <c r="I95" s="167">
        <v>3354</v>
      </c>
      <c r="J95" s="167">
        <v>2000000</v>
      </c>
      <c r="K95" s="167">
        <v>107900</v>
      </c>
      <c r="L95" s="242">
        <v>1.889</v>
      </c>
      <c r="N95" s="1"/>
      <c r="O95" s="134"/>
      <c r="P95"/>
    </row>
    <row r="96" spans="1:16">
      <c r="A96" s="167">
        <v>95</v>
      </c>
      <c r="B96" s="242" t="s">
        <v>1354</v>
      </c>
      <c r="C96" s="242" t="s">
        <v>1247</v>
      </c>
      <c r="D96" s="242" t="s">
        <v>1380</v>
      </c>
      <c r="E96" s="1">
        <v>70.849999999999994</v>
      </c>
      <c r="F96" s="257">
        <v>0.128</v>
      </c>
      <c r="G96" s="167">
        <v>42000</v>
      </c>
      <c r="H96" s="167">
        <v>12000</v>
      </c>
      <c r="I96" s="167">
        <v>1223</v>
      </c>
      <c r="J96" s="167">
        <v>7000000</v>
      </c>
      <c r="K96" s="167">
        <v>15000</v>
      </c>
      <c r="L96" s="242">
        <v>47.570999999999998</v>
      </c>
      <c r="N96" s="1"/>
      <c r="O96" s="134"/>
      <c r="P96"/>
    </row>
    <row r="97" spans="1:16">
      <c r="A97" s="167">
        <v>96</v>
      </c>
      <c r="B97" s="242" t="s">
        <v>1355</v>
      </c>
      <c r="C97" s="242" t="s">
        <v>1247</v>
      </c>
      <c r="D97" s="242" t="s">
        <v>1390</v>
      </c>
      <c r="E97" s="1">
        <v>425.82</v>
      </c>
      <c r="F97" s="257">
        <v>0.03</v>
      </c>
      <c r="G97" s="167">
        <v>49206</v>
      </c>
      <c r="H97" s="167">
        <v>5900</v>
      </c>
      <c r="I97" s="398">
        <v>601</v>
      </c>
      <c r="J97" s="167">
        <v>16680000</v>
      </c>
      <c r="K97" s="167">
        <v>199600</v>
      </c>
      <c r="L97" s="242">
        <v>8.5190000000000001</v>
      </c>
      <c r="N97" s="1"/>
      <c r="O97" s="134" t="s">
        <v>1400</v>
      </c>
      <c r="P97"/>
    </row>
    <row r="98" spans="1:16">
      <c r="A98" s="167">
        <v>97</v>
      </c>
      <c r="B98" s="242" t="s">
        <v>1356</v>
      </c>
      <c r="C98" s="242" t="s">
        <v>1299</v>
      </c>
      <c r="D98" s="242" t="s">
        <v>1380</v>
      </c>
      <c r="E98" s="1">
        <v>70.849999999999994</v>
      </c>
      <c r="F98" s="257">
        <v>0.128</v>
      </c>
      <c r="G98" s="167">
        <v>56000</v>
      </c>
      <c r="H98" s="167">
        <v>16000</v>
      </c>
      <c r="I98" s="167">
        <v>1631</v>
      </c>
      <c r="J98" s="167">
        <v>7000000</v>
      </c>
      <c r="K98" s="167">
        <v>70000</v>
      </c>
      <c r="L98" s="242">
        <v>10.194000000000001</v>
      </c>
      <c r="N98" s="1"/>
      <c r="O98" s="134"/>
      <c r="P98"/>
    </row>
    <row r="99" spans="1:16">
      <c r="A99" s="167">
        <v>98</v>
      </c>
      <c r="B99" s="242" t="s">
        <v>1357</v>
      </c>
      <c r="C99" s="242" t="s">
        <v>1288</v>
      </c>
      <c r="D99" s="242" t="s">
        <v>63</v>
      </c>
      <c r="E99" s="1">
        <v>999.8</v>
      </c>
      <c r="F99" s="257">
        <v>1.4279999999999999E-2</v>
      </c>
      <c r="G99" s="167">
        <v>56650</v>
      </c>
      <c r="H99" s="167">
        <v>10300</v>
      </c>
      <c r="I99" s="167">
        <v>1050</v>
      </c>
      <c r="J99" s="167">
        <v>11000000</v>
      </c>
      <c r="K99" s="167">
        <v>9000</v>
      </c>
      <c r="L99" s="242">
        <v>124.589</v>
      </c>
      <c r="N99" s="1"/>
      <c r="O99" s="134" t="s">
        <v>1485</v>
      </c>
      <c r="P99"/>
    </row>
    <row r="100" spans="1:16">
      <c r="A100" s="167">
        <v>99</v>
      </c>
      <c r="B100" s="242" t="s">
        <v>1358</v>
      </c>
      <c r="C100" s="242" t="s">
        <v>1255</v>
      </c>
      <c r="D100" s="242" t="s">
        <v>1392</v>
      </c>
      <c r="E100" s="1">
        <v>1033.2</v>
      </c>
      <c r="F100" s="257">
        <v>0.03</v>
      </c>
      <c r="G100" s="167">
        <v>58054</v>
      </c>
      <c r="H100" s="167">
        <v>3000</v>
      </c>
      <c r="I100" s="398">
        <v>306</v>
      </c>
      <c r="J100" s="167">
        <v>38702500</v>
      </c>
      <c r="K100" s="167">
        <v>45765</v>
      </c>
      <c r="L100" s="242">
        <v>86.206000000000003</v>
      </c>
      <c r="N100" s="1"/>
      <c r="O100" s="134"/>
      <c r="P100"/>
    </row>
    <row r="101" spans="1:16">
      <c r="A101" s="167">
        <v>100</v>
      </c>
      <c r="B101" s="242" t="s">
        <v>1359</v>
      </c>
      <c r="C101" s="242" t="s">
        <v>1299</v>
      </c>
      <c r="D101" s="242" t="s">
        <v>1380</v>
      </c>
      <c r="E101" s="1">
        <v>70.849999999999994</v>
      </c>
      <c r="F101" s="257">
        <v>0.128</v>
      </c>
      <c r="G101" s="167">
        <v>61250</v>
      </c>
      <c r="H101" s="167">
        <v>35000</v>
      </c>
      <c r="I101" s="167">
        <v>3568</v>
      </c>
      <c r="J101" s="167">
        <v>3500000</v>
      </c>
      <c r="K101" s="167">
        <v>200000</v>
      </c>
      <c r="L101" s="242">
        <v>1.784</v>
      </c>
      <c r="N101" s="1"/>
      <c r="O101" s="134" t="s">
        <v>1424</v>
      </c>
      <c r="P101"/>
    </row>
    <row r="102" spans="1:16">
      <c r="A102" s="167">
        <v>101</v>
      </c>
      <c r="B102" s="242" t="s">
        <v>1360</v>
      </c>
      <c r="C102" s="242" t="s">
        <v>1299</v>
      </c>
      <c r="D102" s="242" t="s">
        <v>1380</v>
      </c>
      <c r="E102" s="1">
        <v>70.849999999999994</v>
      </c>
      <c r="F102" s="257">
        <v>0.128</v>
      </c>
      <c r="G102" s="167">
        <v>125000</v>
      </c>
      <c r="H102" s="167">
        <v>50000</v>
      </c>
      <c r="I102" s="167">
        <v>5097</v>
      </c>
      <c r="J102" s="167">
        <v>5000000</v>
      </c>
      <c r="K102" s="167">
        <v>200000</v>
      </c>
      <c r="L102" s="242">
        <v>2.548</v>
      </c>
      <c r="N102" s="1"/>
      <c r="O102" s="134" t="s">
        <v>1425</v>
      </c>
      <c r="P102"/>
    </row>
    <row r="103" spans="1:16">
      <c r="A103" s="167">
        <v>102</v>
      </c>
      <c r="B103" s="242" t="s">
        <v>1361</v>
      </c>
      <c r="C103" s="242" t="s">
        <v>1250</v>
      </c>
      <c r="D103" s="242" t="s">
        <v>89</v>
      </c>
      <c r="E103" s="1">
        <v>1514.2</v>
      </c>
      <c r="F103" s="257">
        <v>0</v>
      </c>
      <c r="G103" s="167">
        <v>146795</v>
      </c>
      <c r="H103" s="167">
        <v>157000</v>
      </c>
      <c r="I103" s="167">
        <v>16004</v>
      </c>
      <c r="J103" s="167">
        <v>1870000</v>
      </c>
      <c r="K103" s="167">
        <v>199600</v>
      </c>
      <c r="L103" s="242">
        <v>0.95499999999999996</v>
      </c>
      <c r="N103" s="1"/>
      <c r="O103" s="134"/>
      <c r="P103"/>
    </row>
    <row r="104" spans="1:16">
      <c r="A104" s="167">
        <v>103</v>
      </c>
      <c r="B104" s="242" t="s">
        <v>1362</v>
      </c>
      <c r="C104" s="242" t="s">
        <v>1299</v>
      </c>
      <c r="D104" s="242" t="s">
        <v>1380</v>
      </c>
      <c r="E104" s="1">
        <v>70.849999999999994</v>
      </c>
      <c r="F104" s="257">
        <v>0.128</v>
      </c>
      <c r="G104" s="167">
        <v>147000</v>
      </c>
      <c r="H104" s="167">
        <v>98000</v>
      </c>
      <c r="I104" s="167">
        <v>9990</v>
      </c>
      <c r="J104" s="167">
        <v>3000000</v>
      </c>
      <c r="K104" s="167">
        <v>15000</v>
      </c>
      <c r="L104" s="242">
        <v>20.387</v>
      </c>
      <c r="N104" s="1"/>
      <c r="O104" s="134"/>
      <c r="P104"/>
    </row>
    <row r="105" spans="1:16">
      <c r="A105" s="167">
        <v>104</v>
      </c>
      <c r="B105" s="242" t="s">
        <v>1363</v>
      </c>
      <c r="C105" s="242" t="s">
        <v>1299</v>
      </c>
      <c r="D105" s="242" t="s">
        <v>1380</v>
      </c>
      <c r="E105" s="1">
        <v>70.849999999999994</v>
      </c>
      <c r="F105" s="257">
        <v>0.128</v>
      </c>
      <c r="G105" s="167">
        <v>157156</v>
      </c>
      <c r="H105" s="167">
        <v>17658</v>
      </c>
      <c r="I105" s="167">
        <v>1800</v>
      </c>
      <c r="J105" s="167">
        <v>17800000</v>
      </c>
      <c r="K105" s="167">
        <v>127000</v>
      </c>
      <c r="L105" s="261">
        <v>14.287000000000001</v>
      </c>
      <c r="N105" s="1"/>
      <c r="O105" s="134" t="s">
        <v>1426</v>
      </c>
      <c r="P105"/>
    </row>
    <row r="106" spans="1:16">
      <c r="A106" s="167">
        <v>105</v>
      </c>
      <c r="B106" s="242" t="s">
        <v>1364</v>
      </c>
      <c r="C106" s="242" t="s">
        <v>1351</v>
      </c>
      <c r="D106" s="242" t="s">
        <v>1380</v>
      </c>
      <c r="E106" s="1">
        <v>70.849999999999994</v>
      </c>
      <c r="F106" s="257">
        <v>0.128</v>
      </c>
      <c r="G106" s="167">
        <v>192080</v>
      </c>
      <c r="H106" s="167">
        <v>7840000</v>
      </c>
      <c r="I106" s="167">
        <v>799185</v>
      </c>
      <c r="J106" s="167">
        <v>49000</v>
      </c>
      <c r="K106" s="167">
        <v>500000</v>
      </c>
      <c r="L106" s="242">
        <v>0.01</v>
      </c>
      <c r="N106" s="1"/>
      <c r="O106" s="134" t="s">
        <v>1413</v>
      </c>
      <c r="P106"/>
    </row>
    <row r="107" spans="1:16">
      <c r="A107" s="167">
        <v>106</v>
      </c>
      <c r="B107" s="242" t="s">
        <v>1365</v>
      </c>
      <c r="C107" s="242" t="s">
        <v>1299</v>
      </c>
      <c r="D107" s="242" t="s">
        <v>1410</v>
      </c>
      <c r="E107" s="1">
        <v>999.8</v>
      </c>
      <c r="F107" s="257">
        <v>1.4279999999999999E-2</v>
      </c>
      <c r="G107" s="167">
        <v>341266</v>
      </c>
      <c r="H107" s="167">
        <v>78480</v>
      </c>
      <c r="I107" s="167">
        <v>8000</v>
      </c>
      <c r="J107" s="167">
        <v>8696900</v>
      </c>
      <c r="K107" s="167">
        <v>495467</v>
      </c>
      <c r="L107" s="242">
        <v>1.7889999999999999</v>
      </c>
      <c r="N107" s="1"/>
      <c r="O107" s="134" t="s">
        <v>1427</v>
      </c>
      <c r="P107"/>
    </row>
    <row r="108" spans="1:16">
      <c r="A108" s="167">
        <v>107</v>
      </c>
      <c r="B108" s="242" t="s">
        <v>1366</v>
      </c>
      <c r="C108" s="242" t="s">
        <v>1299</v>
      </c>
      <c r="D108" s="242" t="s">
        <v>1410</v>
      </c>
      <c r="E108" s="1">
        <v>999.8</v>
      </c>
      <c r="F108" s="257">
        <v>1.4279999999999999E-2</v>
      </c>
      <c r="G108" s="167">
        <v>425700</v>
      </c>
      <c r="H108" s="167">
        <v>66000</v>
      </c>
      <c r="I108" s="167">
        <v>6728</v>
      </c>
      <c r="J108" s="167">
        <v>12900000</v>
      </c>
      <c r="K108" s="167">
        <v>33000</v>
      </c>
      <c r="L108" s="242">
        <v>39.847999999999999</v>
      </c>
      <c r="N108" s="1"/>
      <c r="O108" s="134"/>
      <c r="P108"/>
    </row>
    <row r="109" spans="1:16">
      <c r="A109" s="167">
        <v>108</v>
      </c>
      <c r="B109" s="242" t="s">
        <v>1367</v>
      </c>
      <c r="C109" s="242" t="s">
        <v>1303</v>
      </c>
      <c r="D109" s="242" t="s">
        <v>1380</v>
      </c>
      <c r="E109" s="1">
        <v>70.849999999999994</v>
      </c>
      <c r="F109" s="257">
        <v>0.128</v>
      </c>
      <c r="G109" s="167">
        <v>560700</v>
      </c>
      <c r="H109" s="167">
        <v>30000</v>
      </c>
      <c r="I109" s="167">
        <v>3058</v>
      </c>
      <c r="J109" s="167">
        <v>37380000</v>
      </c>
      <c r="K109" s="167">
        <v>378000</v>
      </c>
      <c r="L109" s="261">
        <v>10.08</v>
      </c>
      <c r="N109" s="1"/>
      <c r="O109" s="134" t="s">
        <v>1428</v>
      </c>
      <c r="P109"/>
    </row>
    <row r="110" spans="1:16">
      <c r="A110" s="167">
        <v>109</v>
      </c>
      <c r="B110" s="242" t="s">
        <v>1368</v>
      </c>
      <c r="C110" s="242" t="s">
        <v>1250</v>
      </c>
      <c r="D110" s="242" t="s">
        <v>89</v>
      </c>
      <c r="E110" s="1">
        <v>1514.2</v>
      </c>
      <c r="F110" s="257">
        <v>0</v>
      </c>
      <c r="G110" s="167">
        <v>1560000</v>
      </c>
      <c r="H110" s="167">
        <v>39000</v>
      </c>
      <c r="I110" s="167">
        <v>3976</v>
      </c>
      <c r="J110" s="167">
        <v>80000000</v>
      </c>
      <c r="K110" s="167">
        <v>1700000</v>
      </c>
      <c r="L110" s="261">
        <v>4.7969999999999997</v>
      </c>
      <c r="N110" s="1"/>
      <c r="O110" s="134"/>
      <c r="P110"/>
    </row>
    <row r="111" spans="1:16">
      <c r="A111" s="167">
        <v>110</v>
      </c>
      <c r="B111" s="242" t="s">
        <v>1369</v>
      </c>
      <c r="C111" s="242" t="s">
        <v>1250</v>
      </c>
      <c r="D111" s="242" t="s">
        <v>89</v>
      </c>
      <c r="E111" s="1">
        <v>1514.2</v>
      </c>
      <c r="F111" s="257">
        <v>0</v>
      </c>
      <c r="G111" s="167">
        <v>24000000</v>
      </c>
      <c r="H111" s="167">
        <v>120000</v>
      </c>
      <c r="I111" s="167">
        <v>12232</v>
      </c>
      <c r="J111" s="167">
        <v>400000000</v>
      </c>
      <c r="K111" s="167">
        <v>3250000</v>
      </c>
      <c r="L111" s="253">
        <v>12.545999999999999</v>
      </c>
      <c r="N111" s="1"/>
      <c r="O111" s="134"/>
      <c r="P111"/>
    </row>
    <row r="112" spans="1:16">
      <c r="A112" s="167">
        <v>111</v>
      </c>
      <c r="B112" s="242" t="s">
        <v>1370</v>
      </c>
      <c r="C112" s="242" t="s">
        <v>1250</v>
      </c>
      <c r="D112" s="242" t="s">
        <v>89</v>
      </c>
      <c r="E112" s="1">
        <v>1514.2</v>
      </c>
      <c r="F112" s="257">
        <v>0</v>
      </c>
      <c r="G112" s="167">
        <v>39200000</v>
      </c>
      <c r="H112" s="167">
        <v>9800000</v>
      </c>
      <c r="I112" s="167">
        <v>998981</v>
      </c>
      <c r="J112" s="167">
        <v>8000000</v>
      </c>
      <c r="K112" s="167">
        <v>8000</v>
      </c>
      <c r="L112" s="253">
        <v>101.937</v>
      </c>
      <c r="N112" s="1"/>
      <c r="O112" s="134"/>
      <c r="P112"/>
    </row>
    <row r="113" spans="1:16">
      <c r="A113" s="167">
        <v>112</v>
      </c>
      <c r="B113" s="242" t="s">
        <v>1371</v>
      </c>
      <c r="C113" s="242" t="s">
        <v>1372</v>
      </c>
      <c r="D113" s="242" t="s">
        <v>1411</v>
      </c>
      <c r="E113" s="1">
        <v>70.849999999999994</v>
      </c>
      <c r="F113" s="257">
        <v>0.69599999999999995</v>
      </c>
      <c r="G113" s="167">
        <v>500000000</v>
      </c>
      <c r="H113" s="167">
        <v>100000000</v>
      </c>
      <c r="I113" s="167">
        <v>10193680</v>
      </c>
      <c r="J113" s="167">
        <v>10000000</v>
      </c>
      <c r="K113" s="167">
        <v>10000</v>
      </c>
      <c r="L113" s="253">
        <v>101.937</v>
      </c>
      <c r="N113" s="1"/>
      <c r="O113" s="134" t="s">
        <v>1413</v>
      </c>
      <c r="P113"/>
    </row>
    <row r="114" spans="1:16">
      <c r="A114" s="167">
        <v>113</v>
      </c>
      <c r="B114" s="242" t="s">
        <v>1328</v>
      </c>
      <c r="C114" s="242" t="s">
        <v>1488</v>
      </c>
      <c r="D114" s="167" t="s">
        <v>1511</v>
      </c>
      <c r="E114" s="1">
        <v>466</v>
      </c>
      <c r="F114" s="257">
        <v>0.11513</v>
      </c>
      <c r="G114" s="167">
        <v>196000</v>
      </c>
      <c r="H114" s="167">
        <v>19980</v>
      </c>
      <c r="I114" s="167">
        <v>29400</v>
      </c>
      <c r="J114" s="167">
        <v>55560</v>
      </c>
      <c r="K114" s="167">
        <v>5.3999999999999999E-2</v>
      </c>
      <c r="L114" s="260"/>
      <c r="N114" s="1"/>
      <c r="O114" s="134"/>
      <c r="P114"/>
    </row>
  </sheetData>
  <mergeCells count="92">
    <mergeCell ref="Q1:V2"/>
    <mergeCell ref="Q7:Q10"/>
    <mergeCell ref="R7:R10"/>
    <mergeCell ref="S7:S10"/>
    <mergeCell ref="T7:T10"/>
    <mergeCell ref="U7:U10"/>
    <mergeCell ref="V7:V10"/>
    <mergeCell ref="W7:W10"/>
    <mergeCell ref="X7:X10"/>
    <mergeCell ref="Y7:Y10"/>
    <mergeCell ref="Z7:Z10"/>
    <mergeCell ref="AA7:AA10"/>
    <mergeCell ref="Q13:Q14"/>
    <mergeCell ref="Q11:Q12"/>
    <mergeCell ref="R11:R12"/>
    <mergeCell ref="R13:R14"/>
    <mergeCell ref="R15:R16"/>
    <mergeCell ref="Q15:Q16"/>
    <mergeCell ref="Q17:Q18"/>
    <mergeCell ref="Q19:Q20"/>
    <mergeCell ref="Q21:Q22"/>
    <mergeCell ref="Q23:Q24"/>
    <mergeCell ref="Q25:Q26"/>
    <mergeCell ref="S15:S16"/>
    <mergeCell ref="S13:S14"/>
    <mergeCell ref="S11:S12"/>
    <mergeCell ref="S17:S18"/>
    <mergeCell ref="S19:S20"/>
    <mergeCell ref="S21:S22"/>
    <mergeCell ref="S25:S26"/>
    <mergeCell ref="T25:T26"/>
    <mergeCell ref="R25:R26"/>
    <mergeCell ref="R23:R24"/>
    <mergeCell ref="R21:R22"/>
    <mergeCell ref="T21:T22"/>
    <mergeCell ref="T23:T24"/>
    <mergeCell ref="R19:R20"/>
    <mergeCell ref="R17:R18"/>
    <mergeCell ref="S23:S24"/>
    <mergeCell ref="T11:T12"/>
    <mergeCell ref="W11:W12"/>
    <mergeCell ref="W13:W14"/>
    <mergeCell ref="W15:W16"/>
    <mergeCell ref="W17:W18"/>
    <mergeCell ref="W19:W20"/>
    <mergeCell ref="W21:W22"/>
    <mergeCell ref="W23:W24"/>
    <mergeCell ref="U11:U12"/>
    <mergeCell ref="U13:U14"/>
    <mergeCell ref="T13:T14"/>
    <mergeCell ref="T15:T16"/>
    <mergeCell ref="U15:U16"/>
    <mergeCell ref="Z11:Z12"/>
    <mergeCell ref="Z13:Z14"/>
    <mergeCell ref="Z15:Z16"/>
    <mergeCell ref="Z17:Z18"/>
    <mergeCell ref="Z19:Z20"/>
    <mergeCell ref="V11:V12"/>
    <mergeCell ref="V13:V14"/>
    <mergeCell ref="V19:V20"/>
    <mergeCell ref="U17:U18"/>
    <mergeCell ref="X11:X12"/>
    <mergeCell ref="X13:X14"/>
    <mergeCell ref="X15:X16"/>
    <mergeCell ref="X17:X18"/>
    <mergeCell ref="X19:X20"/>
    <mergeCell ref="T17:T18"/>
    <mergeCell ref="T19:T20"/>
    <mergeCell ref="U19:U20"/>
    <mergeCell ref="V15:V16"/>
    <mergeCell ref="V17:V18"/>
    <mergeCell ref="U25:U26"/>
    <mergeCell ref="V25:V26"/>
    <mergeCell ref="W25:W26"/>
    <mergeCell ref="AA21:AA22"/>
    <mergeCell ref="AA23:AA24"/>
    <mergeCell ref="AA25:AA26"/>
    <mergeCell ref="U21:U22"/>
    <mergeCell ref="V21:V22"/>
    <mergeCell ref="Z21:Z22"/>
    <mergeCell ref="Z23:Z24"/>
    <mergeCell ref="Z25:Z26"/>
    <mergeCell ref="X21:X22"/>
    <mergeCell ref="X23:X24"/>
    <mergeCell ref="X25:X26"/>
    <mergeCell ref="U23:U24"/>
    <mergeCell ref="V23:V24"/>
    <mergeCell ref="AA11:AA12"/>
    <mergeCell ref="AA13:AA14"/>
    <mergeCell ref="AA15:AA16"/>
    <mergeCell ref="AA17:AA18"/>
    <mergeCell ref="AA19:AA20"/>
  </mergeCells>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10E78-F6C7-48ED-A12A-A7A725A3B867}">
  <sheetPr codeName="Sheet3">
    <tabColor theme="1"/>
  </sheetPr>
  <dimension ref="A3:W13"/>
  <sheetViews>
    <sheetView workbookViewId="0"/>
  </sheetViews>
  <sheetFormatPr defaultRowHeight="14.25"/>
  <cols>
    <col min="2" max="2" width="10.3984375" customWidth="1"/>
    <col min="4" max="4" width="8" customWidth="1"/>
    <col min="5" max="5" width="8.33203125" style="38" customWidth="1"/>
    <col min="6" max="6" width="10" style="38" customWidth="1"/>
    <col min="7" max="7" width="9.9296875" customWidth="1"/>
    <col min="8" max="8" width="9.19921875" style="38" customWidth="1"/>
    <col min="9" max="9" width="9.53125" style="38" customWidth="1"/>
    <col min="10" max="10" width="16.19921875" style="38" customWidth="1"/>
    <col min="11" max="11" width="8.73046875" customWidth="1"/>
    <col min="12" max="12" width="14.06640625" customWidth="1"/>
    <col min="13" max="13" width="11.3984375" customWidth="1"/>
    <col min="15" max="15" width="11.73046875" customWidth="1"/>
    <col min="16" max="16" width="9.86328125" customWidth="1"/>
    <col min="17" max="17" width="8.06640625" customWidth="1"/>
    <col min="18" max="18" width="4.73046875" customWidth="1"/>
    <col min="19" max="19" width="5.06640625" customWidth="1"/>
  </cols>
  <sheetData>
    <row r="3" spans="1:23" ht="14.25" customHeight="1">
      <c r="B3" s="38" t="s">
        <v>1055</v>
      </c>
      <c r="C3" s="38"/>
      <c r="D3" s="38"/>
      <c r="G3" s="38"/>
      <c r="K3" s="38"/>
      <c r="L3" s="38"/>
      <c r="M3" s="38"/>
      <c r="V3" t="s">
        <v>981</v>
      </c>
    </row>
    <row r="4" spans="1:23">
      <c r="A4" s="596" t="s">
        <v>965</v>
      </c>
      <c r="B4" s="625" t="s">
        <v>954</v>
      </c>
      <c r="C4" s="625" t="s">
        <v>372</v>
      </c>
      <c r="D4" s="596" t="s">
        <v>966</v>
      </c>
      <c r="E4" s="596"/>
      <c r="F4" s="596"/>
      <c r="G4" s="616" t="s">
        <v>960</v>
      </c>
      <c r="H4" s="616" t="s">
        <v>961</v>
      </c>
      <c r="I4" s="616" t="s">
        <v>955</v>
      </c>
      <c r="J4" s="616" t="s">
        <v>963</v>
      </c>
      <c r="K4" s="625" t="s">
        <v>956</v>
      </c>
      <c r="L4" s="622" t="s">
        <v>957</v>
      </c>
      <c r="M4" s="622" t="s">
        <v>958</v>
      </c>
      <c r="N4" s="616" t="s">
        <v>969</v>
      </c>
      <c r="O4" s="616" t="s">
        <v>970</v>
      </c>
      <c r="P4" s="616" t="s">
        <v>990</v>
      </c>
      <c r="Q4" s="616" t="s">
        <v>1046</v>
      </c>
      <c r="R4" s="616" t="s">
        <v>1049</v>
      </c>
      <c r="S4" s="616" t="s">
        <v>1050</v>
      </c>
      <c r="V4" t="s">
        <v>1032</v>
      </c>
      <c r="W4">
        <v>1.78</v>
      </c>
    </row>
    <row r="5" spans="1:23" s="38" customFormat="1">
      <c r="A5" s="596"/>
      <c r="B5" s="625"/>
      <c r="C5" s="625"/>
      <c r="D5" s="38" t="s">
        <v>960</v>
      </c>
      <c r="E5" s="38" t="s">
        <v>961</v>
      </c>
      <c r="F5" s="38" t="s">
        <v>962</v>
      </c>
      <c r="G5" s="616"/>
      <c r="H5" s="616"/>
      <c r="I5" s="616"/>
      <c r="J5" s="616"/>
      <c r="K5" s="625"/>
      <c r="L5" s="622"/>
      <c r="M5" s="622"/>
      <c r="N5" s="616"/>
      <c r="O5" s="616"/>
      <c r="P5" s="616"/>
      <c r="Q5" s="616"/>
      <c r="R5" s="616"/>
      <c r="S5" s="616"/>
      <c r="V5" s="38" t="s">
        <v>406</v>
      </c>
      <c r="W5">
        <v>2</v>
      </c>
    </row>
    <row r="6" spans="1:23">
      <c r="A6" s="596">
        <v>1</v>
      </c>
      <c r="B6" s="625" t="s">
        <v>137</v>
      </c>
      <c r="C6" s="625">
        <v>1.41</v>
      </c>
      <c r="D6" s="596">
        <v>6.78</v>
      </c>
      <c r="E6" s="596"/>
      <c r="F6" s="596"/>
      <c r="G6" s="623">
        <f>1/(J6*D7)</f>
        <v>4.2950226244343899</v>
      </c>
      <c r="H6" s="623">
        <f>1/(J6*E7)</f>
        <v>11.355301794453508</v>
      </c>
      <c r="I6" s="596">
        <v>3.08</v>
      </c>
      <c r="J6" s="623">
        <f>1/(I6*D6)</f>
        <v>4.7887216028808945E-2</v>
      </c>
      <c r="K6" s="596">
        <v>18.93</v>
      </c>
      <c r="L6" s="596">
        <v>190</v>
      </c>
      <c r="M6" s="596">
        <v>3.69</v>
      </c>
      <c r="N6" s="596">
        <v>16</v>
      </c>
      <c r="O6" s="618">
        <v>7.4582E+17</v>
      </c>
      <c r="P6" s="596">
        <v>0</v>
      </c>
      <c r="Q6" s="596">
        <v>100</v>
      </c>
      <c r="R6" s="596">
        <v>1</v>
      </c>
      <c r="S6" s="596"/>
    </row>
    <row r="7" spans="1:23">
      <c r="A7" s="596"/>
      <c r="B7" s="625"/>
      <c r="C7" s="625"/>
      <c r="D7" s="38">
        <v>4.8620000000000001</v>
      </c>
      <c r="E7" s="38">
        <v>1.839</v>
      </c>
      <c r="F7" s="38">
        <f>D6-E7-D7</f>
        <v>7.9000000000000625E-2</v>
      </c>
      <c r="G7" s="623"/>
      <c r="H7" s="623"/>
      <c r="I7" s="596"/>
      <c r="J7" s="623"/>
      <c r="K7" s="596"/>
      <c r="L7" s="596"/>
      <c r="M7" s="596"/>
      <c r="N7" s="596"/>
      <c r="O7" s="596"/>
      <c r="P7" s="596"/>
      <c r="Q7" s="596"/>
      <c r="R7" s="596"/>
      <c r="S7" s="596"/>
    </row>
    <row r="8" spans="1:23">
      <c r="A8" s="596">
        <v>2</v>
      </c>
      <c r="B8" s="624" t="s">
        <v>133</v>
      </c>
      <c r="C8" s="625">
        <v>1.25</v>
      </c>
      <c r="D8" s="596">
        <v>6.8</v>
      </c>
      <c r="E8" s="596"/>
      <c r="F8" s="596"/>
      <c r="G8" s="623">
        <f>1/(J8*D9)</f>
        <v>3.800473329692335</v>
      </c>
      <c r="H8" s="623">
        <f>1/(J8*E9)</f>
        <v>17.411175979983316</v>
      </c>
      <c r="I8" s="623">
        <v>3.07</v>
      </c>
      <c r="J8" s="623">
        <f>1/(I8*D8)</f>
        <v>4.7901896915117842E-2</v>
      </c>
      <c r="K8" s="596">
        <v>18.93</v>
      </c>
      <c r="L8" s="596">
        <v>112</v>
      </c>
      <c r="M8" s="596">
        <v>6.05</v>
      </c>
      <c r="N8" s="596">
        <v>48</v>
      </c>
      <c r="O8" s="619">
        <v>7.3744E+17</v>
      </c>
      <c r="P8" s="618">
        <v>5.5999999999999999E-3</v>
      </c>
      <c r="Q8" s="596">
        <v>100</v>
      </c>
      <c r="R8" s="596">
        <v>1</v>
      </c>
      <c r="S8" s="596"/>
    </row>
    <row r="9" spans="1:23">
      <c r="A9" s="596"/>
      <c r="B9" s="624"/>
      <c r="C9" s="625"/>
      <c r="D9" s="38">
        <v>5.4930000000000003</v>
      </c>
      <c r="E9" s="38">
        <v>1.1990000000000001</v>
      </c>
      <c r="F9" s="38">
        <f>D8-E9-D9</f>
        <v>0.10799999999999965</v>
      </c>
      <c r="G9" s="623"/>
      <c r="H9" s="623"/>
      <c r="I9" s="623"/>
      <c r="J9" s="623"/>
      <c r="K9" s="596"/>
      <c r="L9" s="596"/>
      <c r="M9" s="596"/>
      <c r="N9" s="596"/>
      <c r="O9" s="616"/>
      <c r="P9" s="596"/>
      <c r="Q9" s="596"/>
      <c r="R9" s="596"/>
      <c r="S9" s="596"/>
    </row>
    <row r="10" spans="1:23">
      <c r="A10" s="596">
        <v>3</v>
      </c>
      <c r="B10" s="625" t="s">
        <v>139</v>
      </c>
      <c r="C10" s="625">
        <v>1.5</v>
      </c>
      <c r="D10" s="596">
        <v>6.97</v>
      </c>
      <c r="E10" s="596"/>
      <c r="F10" s="596"/>
      <c r="G10" s="623">
        <f>1/(J10*D11)</f>
        <v>3.8395201535508643</v>
      </c>
      <c r="H10" s="623">
        <f>1/(J10*E11)</f>
        <v>11.536274509803924</v>
      </c>
      <c r="I10" s="623">
        <v>2.87</v>
      </c>
      <c r="J10" s="623">
        <f>1/(I10*D10)</f>
        <v>4.9990251900879322E-2</v>
      </c>
      <c r="K10" s="596">
        <v>19.86</v>
      </c>
      <c r="L10" s="596">
        <v>252</v>
      </c>
      <c r="M10" s="596">
        <v>2.86</v>
      </c>
      <c r="N10" s="596">
        <v>10</v>
      </c>
      <c r="O10" s="618">
        <v>7.2498E+17</v>
      </c>
      <c r="P10" s="596">
        <v>10.1</v>
      </c>
      <c r="Q10" s="596">
        <v>50</v>
      </c>
      <c r="R10" s="596">
        <v>1.23</v>
      </c>
      <c r="S10" s="596">
        <v>50</v>
      </c>
    </row>
    <row r="11" spans="1:23">
      <c r="A11" s="596"/>
      <c r="B11" s="625"/>
      <c r="C11" s="625"/>
      <c r="D11" s="38">
        <v>5.21</v>
      </c>
      <c r="E11" s="38">
        <v>1.734</v>
      </c>
      <c r="F11" s="38">
        <f>D10-E11-D11</f>
        <v>2.5999999999999801E-2</v>
      </c>
      <c r="G11" s="623"/>
      <c r="H11" s="623"/>
      <c r="I11" s="623"/>
      <c r="J11" s="623"/>
      <c r="K11" s="596"/>
      <c r="L11" s="596"/>
      <c r="M11" s="596"/>
      <c r="N11" s="596"/>
      <c r="O11" s="596"/>
      <c r="P11" s="596"/>
      <c r="Q11" s="596"/>
      <c r="R11" s="596"/>
      <c r="S11" s="596"/>
    </row>
    <row r="12" spans="1:23">
      <c r="A12" s="596">
        <v>4</v>
      </c>
      <c r="B12" s="625" t="s">
        <v>959</v>
      </c>
      <c r="C12" s="625">
        <v>1.46</v>
      </c>
      <c r="D12" s="596">
        <v>6.8559999999999999</v>
      </c>
      <c r="E12" s="596"/>
      <c r="F12" s="596"/>
      <c r="G12" s="623">
        <f>1/(J12*D13)</f>
        <v>4.7664144420971768</v>
      </c>
      <c r="H12" s="623">
        <f>1/(J12*E13)</f>
        <v>14.834859533771667</v>
      </c>
      <c r="I12" s="623">
        <v>3.62</v>
      </c>
      <c r="J12" s="623">
        <f>1/(I12*D12)</f>
        <v>4.0292166558146436E-2</v>
      </c>
      <c r="K12" s="596">
        <v>15.6</v>
      </c>
      <c r="L12" s="596">
        <v>178</v>
      </c>
      <c r="M12" s="596">
        <v>3.9</v>
      </c>
      <c r="N12" s="596">
        <v>16.45</v>
      </c>
      <c r="O12" s="620">
        <v>7.3E+17</v>
      </c>
      <c r="P12" s="596">
        <v>23182.94</v>
      </c>
      <c r="Q12" s="596">
        <v>30</v>
      </c>
      <c r="R12" s="596">
        <v>1</v>
      </c>
      <c r="S12" s="596"/>
    </row>
    <row r="13" spans="1:23">
      <c r="A13" s="596"/>
      <c r="B13" s="625"/>
      <c r="C13" s="625"/>
      <c r="D13" s="38">
        <v>5.2069999999999999</v>
      </c>
      <c r="E13" s="38">
        <v>1.673</v>
      </c>
      <c r="F13" s="38">
        <f>D12-E13-D13</f>
        <v>-2.4000000000000021E-2</v>
      </c>
      <c r="G13" s="623"/>
      <c r="H13" s="623"/>
      <c r="I13" s="623"/>
      <c r="J13" s="623"/>
      <c r="K13" s="596"/>
      <c r="L13" s="596"/>
      <c r="M13" s="596"/>
      <c r="N13" s="596"/>
      <c r="O13" s="621"/>
      <c r="P13" s="596"/>
      <c r="Q13" s="596"/>
      <c r="R13" s="596"/>
      <c r="S13" s="596"/>
    </row>
  </sheetData>
  <mergeCells count="85">
    <mergeCell ref="M12:M13"/>
    <mergeCell ref="M4:M5"/>
    <mergeCell ref="M6:M7"/>
    <mergeCell ref="C4:C5"/>
    <mergeCell ref="D8:F8"/>
    <mergeCell ref="D10:F10"/>
    <mergeCell ref="G8:G9"/>
    <mergeCell ref="G10:G11"/>
    <mergeCell ref="J6:J7"/>
    <mergeCell ref="K8:K9"/>
    <mergeCell ref="K10:K11"/>
    <mergeCell ref="M10:M11"/>
    <mergeCell ref="J8:J9"/>
    <mergeCell ref="J10:J11"/>
    <mergeCell ref="M8:M9"/>
    <mergeCell ref="H12:H13"/>
    <mergeCell ref="B6:B7"/>
    <mergeCell ref="C6:C7"/>
    <mergeCell ref="D6:F6"/>
    <mergeCell ref="A4:A5"/>
    <mergeCell ref="K6:K7"/>
    <mergeCell ref="I6:I7"/>
    <mergeCell ref="A6:A7"/>
    <mergeCell ref="B4:B5"/>
    <mergeCell ref="G4:G5"/>
    <mergeCell ref="K4:K5"/>
    <mergeCell ref="D4:F4"/>
    <mergeCell ref="H6:H7"/>
    <mergeCell ref="G6:G7"/>
    <mergeCell ref="H4:H5"/>
    <mergeCell ref="I4:I5"/>
    <mergeCell ref="A8:A9"/>
    <mergeCell ref="A10:A11"/>
    <mergeCell ref="A12:A13"/>
    <mergeCell ref="I8:I9"/>
    <mergeCell ref="I10:I11"/>
    <mergeCell ref="I12:I13"/>
    <mergeCell ref="B8:B9"/>
    <mergeCell ref="B10:B11"/>
    <mergeCell ref="B12:B13"/>
    <mergeCell ref="C12:C13"/>
    <mergeCell ref="C10:C11"/>
    <mergeCell ref="C8:C9"/>
    <mergeCell ref="D12:F12"/>
    <mergeCell ref="G12:G13"/>
    <mergeCell ref="H8:H9"/>
    <mergeCell ref="H10:H11"/>
    <mergeCell ref="L6:L7"/>
    <mergeCell ref="L8:L9"/>
    <mergeCell ref="L10:L11"/>
    <mergeCell ref="L12:L13"/>
    <mergeCell ref="J4:J5"/>
    <mergeCell ref="L4:L5"/>
    <mergeCell ref="K12:K13"/>
    <mergeCell ref="J12:J13"/>
    <mergeCell ref="O4:O5"/>
    <mergeCell ref="O6:O7"/>
    <mergeCell ref="O8:O9"/>
    <mergeCell ref="O10:O11"/>
    <mergeCell ref="O12:O13"/>
    <mergeCell ref="N4:N5"/>
    <mergeCell ref="N6:N7"/>
    <mergeCell ref="N8:N9"/>
    <mergeCell ref="N10:N11"/>
    <mergeCell ref="N12:N13"/>
    <mergeCell ref="P4:P5"/>
    <mergeCell ref="P6:P7"/>
    <mergeCell ref="P8:P9"/>
    <mergeCell ref="P10:P11"/>
    <mergeCell ref="P12:P13"/>
    <mergeCell ref="Q4:Q5"/>
    <mergeCell ref="Q6:Q7"/>
    <mergeCell ref="Q8:Q9"/>
    <mergeCell ref="Q10:Q11"/>
    <mergeCell ref="Q12:Q13"/>
    <mergeCell ref="R10:R11"/>
    <mergeCell ref="S10:S11"/>
    <mergeCell ref="R12:R13"/>
    <mergeCell ref="S12:S13"/>
    <mergeCell ref="R4:R5"/>
    <mergeCell ref="S4:S5"/>
    <mergeCell ref="R6:R7"/>
    <mergeCell ref="S6:S7"/>
    <mergeCell ref="R8:R9"/>
    <mergeCell ref="S8:S9"/>
  </mergeCells>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559F4-0A53-4D61-81E5-8D58BFA644B8}">
  <sheetPr codeName="Sheet17">
    <tabColor theme="1"/>
  </sheetPr>
  <dimension ref="A1:M35"/>
  <sheetViews>
    <sheetView workbookViewId="0"/>
  </sheetViews>
  <sheetFormatPr defaultRowHeight="14.25"/>
  <cols>
    <col min="3" max="3" width="12.19921875" customWidth="1"/>
    <col min="4" max="4" width="18.53125" style="338" customWidth="1"/>
    <col min="5" max="5" width="11.73046875" customWidth="1"/>
    <col min="6" max="6" width="15.86328125" customWidth="1"/>
    <col min="7" max="7" width="14.265625" customWidth="1"/>
    <col min="9" max="9" width="9.6640625" customWidth="1"/>
    <col min="10" max="10" width="11.6640625" customWidth="1"/>
    <col min="11" max="11" width="12.73046875" customWidth="1"/>
  </cols>
  <sheetData>
    <row r="1" spans="1:13">
      <c r="A1" s="340" t="s">
        <v>1687</v>
      </c>
    </row>
    <row r="2" spans="1:13">
      <c r="A2" s="339"/>
      <c r="B2" s="616" t="s">
        <v>954</v>
      </c>
      <c r="C2" s="616" t="s">
        <v>1679</v>
      </c>
      <c r="D2" s="616" t="s">
        <v>1640</v>
      </c>
      <c r="E2" s="616" t="s">
        <v>1680</v>
      </c>
      <c r="F2" s="616" t="s">
        <v>1685</v>
      </c>
      <c r="G2" s="616" t="s">
        <v>1686</v>
      </c>
      <c r="H2" s="616" t="s">
        <v>1681</v>
      </c>
      <c r="I2" s="616" t="s">
        <v>1682</v>
      </c>
      <c r="J2" s="616" t="s">
        <v>1683</v>
      </c>
      <c r="K2" s="616" t="s">
        <v>1684</v>
      </c>
      <c r="L2" s="616" t="s">
        <v>1691</v>
      </c>
      <c r="M2" s="616"/>
    </row>
    <row r="3" spans="1:13" ht="44.65" customHeight="1">
      <c r="A3" s="339"/>
      <c r="B3" s="616"/>
      <c r="C3" s="616"/>
      <c r="D3" s="616"/>
      <c r="E3" s="616"/>
      <c r="F3" s="616"/>
      <c r="G3" s="616"/>
      <c r="H3" s="616"/>
      <c r="I3" s="616"/>
      <c r="J3" s="616"/>
      <c r="K3" s="616"/>
      <c r="L3" s="616"/>
      <c r="M3" s="616"/>
    </row>
    <row r="4" spans="1:13" s="180" customFormat="1">
      <c r="A4" s="180">
        <v>1</v>
      </c>
      <c r="B4" s="180" t="s">
        <v>141</v>
      </c>
      <c r="C4" s="343">
        <v>14050000000</v>
      </c>
      <c r="D4" s="344" t="s">
        <v>1641</v>
      </c>
      <c r="E4" s="344" t="s">
        <v>1642</v>
      </c>
      <c r="F4" s="180">
        <v>7.85E-2</v>
      </c>
      <c r="H4" s="180">
        <v>2.16</v>
      </c>
      <c r="I4" s="180" t="s">
        <v>726</v>
      </c>
      <c r="J4" s="180" t="s">
        <v>1643</v>
      </c>
      <c r="K4" s="343">
        <v>1.097E-4</v>
      </c>
      <c r="L4" s="180">
        <v>0</v>
      </c>
    </row>
    <row r="5" spans="1:13">
      <c r="A5">
        <v>2</v>
      </c>
      <c r="B5" t="s">
        <v>1644</v>
      </c>
      <c r="C5" s="167">
        <v>32760</v>
      </c>
      <c r="D5" s="338" t="s">
        <v>1645</v>
      </c>
      <c r="E5" s="338" t="s">
        <v>1646</v>
      </c>
      <c r="F5">
        <v>0.83399999999999996</v>
      </c>
      <c r="H5">
        <v>2.4569999999999999</v>
      </c>
      <c r="I5" t="s">
        <v>1647</v>
      </c>
      <c r="J5">
        <v>1.4419999999999999</v>
      </c>
      <c r="K5">
        <v>47.23</v>
      </c>
      <c r="L5">
        <v>0</v>
      </c>
    </row>
    <row r="6" spans="1:13">
      <c r="A6" s="340">
        <v>3</v>
      </c>
      <c r="B6" t="s">
        <v>1648</v>
      </c>
      <c r="C6">
        <v>68.900000000000006</v>
      </c>
      <c r="D6" s="338" t="s">
        <v>1649</v>
      </c>
      <c r="E6" s="338" t="s">
        <v>1650</v>
      </c>
      <c r="F6">
        <v>2.0129999999999999</v>
      </c>
      <c r="G6">
        <v>2</v>
      </c>
      <c r="H6">
        <v>3.2959999999999998</v>
      </c>
      <c r="I6" t="s">
        <v>1651</v>
      </c>
      <c r="J6">
        <v>717.6</v>
      </c>
      <c r="K6" s="167">
        <v>22360</v>
      </c>
      <c r="L6">
        <v>0</v>
      </c>
    </row>
    <row r="7" spans="1:13">
      <c r="A7" s="340">
        <v>4</v>
      </c>
      <c r="B7" t="s">
        <v>137</v>
      </c>
      <c r="C7" s="167">
        <v>159200</v>
      </c>
      <c r="D7" s="338" t="s">
        <v>1652</v>
      </c>
      <c r="E7" s="338"/>
      <c r="F7">
        <v>1.946</v>
      </c>
      <c r="H7">
        <v>2.649</v>
      </c>
      <c r="I7">
        <v>16</v>
      </c>
      <c r="J7">
        <v>0.28039999999999998</v>
      </c>
      <c r="K7">
        <v>9.6359999999999992</v>
      </c>
      <c r="L7">
        <v>198</v>
      </c>
      <c r="M7" s="340"/>
    </row>
    <row r="8" spans="1:13">
      <c r="A8" s="340">
        <v>5</v>
      </c>
      <c r="B8" t="s">
        <v>1653</v>
      </c>
      <c r="C8" s="167">
        <v>245500</v>
      </c>
      <c r="D8" s="338" t="s">
        <v>1654</v>
      </c>
      <c r="E8" s="338">
        <v>3.9</v>
      </c>
      <c r="F8">
        <v>1.2230000000000001</v>
      </c>
      <c r="G8">
        <v>1.8</v>
      </c>
      <c r="H8">
        <v>2.5779999999999998</v>
      </c>
      <c r="I8" t="s">
        <v>1655</v>
      </c>
      <c r="J8">
        <v>0.1792</v>
      </c>
      <c r="K8">
        <v>6.2220000000000004</v>
      </c>
      <c r="L8">
        <v>198</v>
      </c>
      <c r="M8" s="340"/>
    </row>
    <row r="9" spans="1:13">
      <c r="A9" s="340">
        <v>6</v>
      </c>
      <c r="B9" t="s">
        <v>133</v>
      </c>
      <c r="C9" s="172">
        <v>703800000</v>
      </c>
      <c r="D9" s="338" t="s">
        <v>1656</v>
      </c>
      <c r="E9" s="338" t="s">
        <v>1657</v>
      </c>
      <c r="F9">
        <v>1.2350000000000001</v>
      </c>
      <c r="G9">
        <v>2</v>
      </c>
      <c r="H9">
        <v>2.6055000000000001</v>
      </c>
      <c r="I9">
        <v>48</v>
      </c>
      <c r="J9" s="172">
        <v>5.9939999999999999E-5</v>
      </c>
      <c r="K9" s="172">
        <v>2.1610000000000002E-3</v>
      </c>
      <c r="L9">
        <v>203</v>
      </c>
      <c r="M9" s="340"/>
    </row>
    <row r="10" spans="1:13">
      <c r="A10" s="340">
        <v>7</v>
      </c>
      <c r="B10" t="s">
        <v>1658</v>
      </c>
      <c r="C10" s="172">
        <v>23420000</v>
      </c>
      <c r="D10" s="338" t="s">
        <v>1659</v>
      </c>
      <c r="E10" s="338">
        <v>2.2999999999999998</v>
      </c>
      <c r="F10">
        <v>0.59399999999999997</v>
      </c>
      <c r="G10">
        <v>1.8</v>
      </c>
      <c r="H10">
        <v>2.5259999999999998</v>
      </c>
      <c r="I10" t="s">
        <v>1660</v>
      </c>
      <c r="J10" s="172">
        <v>1.753E-3</v>
      </c>
      <c r="K10">
        <v>6.4670000000000005E-2</v>
      </c>
      <c r="L10">
        <v>193</v>
      </c>
      <c r="M10" s="340"/>
    </row>
    <row r="11" spans="1:13">
      <c r="A11" s="340">
        <v>8</v>
      </c>
      <c r="B11" t="s">
        <v>1661</v>
      </c>
      <c r="C11" s="172">
        <v>4468000000</v>
      </c>
      <c r="D11" s="338" t="s">
        <v>1662</v>
      </c>
      <c r="E11" s="338">
        <v>5.51</v>
      </c>
      <c r="F11">
        <v>0.308</v>
      </c>
      <c r="G11">
        <v>1.97</v>
      </c>
      <c r="H11">
        <v>2.601</v>
      </c>
      <c r="I11" t="s">
        <v>726</v>
      </c>
      <c r="J11" s="172">
        <v>8.5080000000000005E-6</v>
      </c>
      <c r="K11" s="172">
        <v>3.3609999999999998E-4</v>
      </c>
      <c r="L11">
        <v>193</v>
      </c>
      <c r="M11" s="340"/>
    </row>
    <row r="12" spans="1:13">
      <c r="A12" s="340">
        <v>9</v>
      </c>
      <c r="B12" t="s">
        <v>1663</v>
      </c>
      <c r="C12" s="172">
        <v>2144000</v>
      </c>
      <c r="D12" s="338" t="s">
        <v>1664</v>
      </c>
      <c r="E12" s="338" t="s">
        <v>1665</v>
      </c>
      <c r="F12">
        <v>1.335</v>
      </c>
      <c r="G12">
        <v>2</v>
      </c>
      <c r="H12">
        <v>2.8889999999999998</v>
      </c>
      <c r="I12" t="s">
        <v>1666</v>
      </c>
      <c r="J12">
        <v>2.068E-2</v>
      </c>
      <c r="K12">
        <v>0.70340000000000003</v>
      </c>
      <c r="L12">
        <v>198</v>
      </c>
    </row>
    <row r="13" spans="1:13">
      <c r="A13" s="340">
        <v>10</v>
      </c>
      <c r="B13" t="s">
        <v>144</v>
      </c>
      <c r="C13">
        <v>87.7</v>
      </c>
      <c r="D13" s="338" t="s">
        <v>1667</v>
      </c>
      <c r="E13" s="338" t="s">
        <v>1668</v>
      </c>
      <c r="F13">
        <v>1.994</v>
      </c>
      <c r="G13">
        <v>2.2799999999999998</v>
      </c>
      <c r="H13">
        <v>3.1480000000000001</v>
      </c>
      <c r="I13">
        <v>9</v>
      </c>
      <c r="J13" s="172">
        <v>567800</v>
      </c>
      <c r="K13" s="167">
        <v>17120</v>
      </c>
      <c r="L13">
        <v>212</v>
      </c>
    </row>
    <row r="14" spans="1:13">
      <c r="A14" s="340">
        <v>11</v>
      </c>
      <c r="B14" t="s">
        <v>139</v>
      </c>
      <c r="C14" s="167">
        <v>24110</v>
      </c>
      <c r="D14" s="338" t="s">
        <v>1669</v>
      </c>
      <c r="E14" s="338">
        <v>10.1</v>
      </c>
      <c r="F14">
        <v>1.8</v>
      </c>
      <c r="G14">
        <v>2.9</v>
      </c>
      <c r="H14">
        <v>3.1231</v>
      </c>
      <c r="I14">
        <v>10.5</v>
      </c>
      <c r="J14">
        <v>1.929</v>
      </c>
      <c r="K14">
        <v>62.03</v>
      </c>
      <c r="L14">
        <v>207</v>
      </c>
      <c r="M14" s="340"/>
    </row>
    <row r="15" spans="1:13">
      <c r="A15" s="340">
        <v>12</v>
      </c>
      <c r="B15" t="s">
        <v>138</v>
      </c>
      <c r="C15" s="167">
        <v>65640</v>
      </c>
      <c r="D15" s="338" t="s">
        <v>1670</v>
      </c>
      <c r="E15" s="342">
        <v>478000</v>
      </c>
      <c r="F15">
        <v>1.357</v>
      </c>
      <c r="G15">
        <v>2.1890000000000001</v>
      </c>
      <c r="H15">
        <v>3.0609999999999999</v>
      </c>
      <c r="I15">
        <v>40</v>
      </c>
      <c r="J15">
        <v>7.07</v>
      </c>
      <c r="K15">
        <v>227</v>
      </c>
      <c r="L15">
        <v>211</v>
      </c>
      <c r="M15" s="340"/>
    </row>
    <row r="16" spans="1:13">
      <c r="A16" s="340">
        <v>13</v>
      </c>
      <c r="B16" t="s">
        <v>140</v>
      </c>
      <c r="C16">
        <v>14.35</v>
      </c>
      <c r="D16" s="338" t="s">
        <v>1671</v>
      </c>
      <c r="E16" s="338" t="s">
        <v>1672</v>
      </c>
      <c r="F16">
        <v>1.6479999999999999</v>
      </c>
      <c r="H16">
        <v>3.1419999999999999</v>
      </c>
      <c r="I16">
        <v>12</v>
      </c>
      <c r="J16">
        <v>129.4</v>
      </c>
      <c r="K16" s="172">
        <v>103300</v>
      </c>
      <c r="L16">
        <v>211</v>
      </c>
      <c r="M16" s="340"/>
    </row>
    <row r="17" spans="1:13">
      <c r="A17" s="340">
        <v>14</v>
      </c>
      <c r="B17" t="s">
        <v>1673</v>
      </c>
      <c r="C17" s="167">
        <v>373300</v>
      </c>
      <c r="D17" s="338" t="s">
        <v>1674</v>
      </c>
      <c r="E17" s="342">
        <v>805000</v>
      </c>
      <c r="F17">
        <v>1.127</v>
      </c>
      <c r="G17">
        <v>2.2799999999999998</v>
      </c>
      <c r="H17">
        <v>3.07</v>
      </c>
      <c r="I17" t="s">
        <v>1675</v>
      </c>
      <c r="J17">
        <v>0.1169</v>
      </c>
      <c r="K17">
        <v>3.956</v>
      </c>
      <c r="L17">
        <v>0</v>
      </c>
      <c r="M17" s="340"/>
    </row>
    <row r="18" spans="1:13">
      <c r="A18" s="340">
        <v>15</v>
      </c>
      <c r="B18" t="s">
        <v>142</v>
      </c>
      <c r="C18">
        <v>432.2</v>
      </c>
      <c r="D18" s="338" t="s">
        <v>1676</v>
      </c>
      <c r="E18" s="338">
        <v>500</v>
      </c>
      <c r="F18">
        <v>1.3779999999999999</v>
      </c>
      <c r="G18">
        <v>2</v>
      </c>
      <c r="H18">
        <v>3.4569999999999999</v>
      </c>
      <c r="I18">
        <v>83.5</v>
      </c>
      <c r="J18">
        <v>114.7</v>
      </c>
      <c r="K18" s="167">
        <v>3431</v>
      </c>
      <c r="L18">
        <v>200</v>
      </c>
    </row>
    <row r="19" spans="1:13">
      <c r="A19" s="340">
        <v>16</v>
      </c>
      <c r="B19" t="s">
        <v>1677</v>
      </c>
      <c r="C19">
        <v>898</v>
      </c>
      <c r="D19" s="338" t="s">
        <v>1678</v>
      </c>
      <c r="E19" s="338"/>
      <c r="F19">
        <v>2.4300000000000002</v>
      </c>
      <c r="H19">
        <v>4.5599999999999996</v>
      </c>
      <c r="I19">
        <v>1.94</v>
      </c>
      <c r="J19">
        <v>58.05</v>
      </c>
      <c r="K19" s="167">
        <v>1586</v>
      </c>
      <c r="L19">
        <v>0</v>
      </c>
    </row>
    <row r="24" spans="1:13">
      <c r="A24" s="340"/>
    </row>
    <row r="25" spans="1:13">
      <c r="A25" s="340"/>
    </row>
    <row r="26" spans="1:13">
      <c r="A26" s="340"/>
    </row>
    <row r="27" spans="1:13">
      <c r="A27" s="340"/>
    </row>
    <row r="28" spans="1:13">
      <c r="A28" s="340"/>
    </row>
    <row r="29" spans="1:13">
      <c r="A29" s="340"/>
    </row>
    <row r="30" spans="1:13">
      <c r="A30" s="340"/>
    </row>
    <row r="31" spans="1:13">
      <c r="A31" s="340"/>
    </row>
    <row r="32" spans="1:13">
      <c r="A32" s="340"/>
    </row>
    <row r="33" spans="1:1">
      <c r="A33" s="340"/>
    </row>
    <row r="34" spans="1:1">
      <c r="A34" s="340"/>
    </row>
    <row r="35" spans="1:1">
      <c r="A35" s="340"/>
    </row>
  </sheetData>
  <mergeCells count="12">
    <mergeCell ref="G2:G3"/>
    <mergeCell ref="B2:B3"/>
    <mergeCell ref="D2:D3"/>
    <mergeCell ref="C2:C3"/>
    <mergeCell ref="E2:E3"/>
    <mergeCell ref="F2:F3"/>
    <mergeCell ref="L2:L3"/>
    <mergeCell ref="M2:M3"/>
    <mergeCell ref="H2:H3"/>
    <mergeCell ref="I2:I3"/>
    <mergeCell ref="J2:J3"/>
    <mergeCell ref="K2:K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2C210-5BC6-4D05-86F6-51BF92BAEEB3}">
  <sheetPr codeName="Sheet13">
    <tabColor theme="1"/>
  </sheetPr>
  <dimension ref="A1:L11"/>
  <sheetViews>
    <sheetView workbookViewId="0">
      <selection activeCell="I4" sqref="I4"/>
    </sheetView>
  </sheetViews>
  <sheetFormatPr defaultRowHeight="14.25"/>
  <cols>
    <col min="1" max="1" width="9.06640625" style="237"/>
    <col min="2" max="2" width="4.6640625" customWidth="1"/>
    <col min="3" max="3" width="16.06640625" customWidth="1"/>
    <col min="4" max="4" width="11.46484375" customWidth="1"/>
    <col min="6" max="6" width="8.06640625" customWidth="1"/>
    <col min="8" max="8" width="8.46484375" customWidth="1"/>
  </cols>
  <sheetData>
    <row r="1" spans="2:12" s="237" customFormat="1"/>
    <row r="2" spans="2:12">
      <c r="B2" s="244"/>
      <c r="C2" s="244"/>
      <c r="D2" s="244"/>
      <c r="E2" s="613" t="s">
        <v>1195</v>
      </c>
      <c r="F2" s="613"/>
      <c r="G2" s="613" t="s">
        <v>1197</v>
      </c>
      <c r="H2" s="613"/>
      <c r="I2" s="613" t="s">
        <v>1198</v>
      </c>
      <c r="J2" s="613"/>
      <c r="K2" s="613" t="s">
        <v>1201</v>
      </c>
      <c r="L2" s="613"/>
    </row>
    <row r="3" spans="2:12" ht="25.5" customHeight="1">
      <c r="B3" s="244" t="s">
        <v>965</v>
      </c>
      <c r="C3" s="244"/>
      <c r="D3" s="278" t="s">
        <v>1193</v>
      </c>
      <c r="E3" s="278" t="s">
        <v>1194</v>
      </c>
      <c r="F3" s="278" t="s">
        <v>1196</v>
      </c>
      <c r="G3" s="278" t="s">
        <v>1194</v>
      </c>
      <c r="H3" s="278" t="s">
        <v>1196</v>
      </c>
      <c r="I3" s="278" t="s">
        <v>1194</v>
      </c>
      <c r="J3" s="278" t="s">
        <v>1196</v>
      </c>
      <c r="K3" s="278" t="s">
        <v>1194</v>
      </c>
      <c r="L3" s="278" t="s">
        <v>1196</v>
      </c>
    </row>
    <row r="4" spans="2:12">
      <c r="B4" s="244">
        <v>1</v>
      </c>
      <c r="C4" s="244" t="s">
        <v>63</v>
      </c>
      <c r="D4" s="268">
        <v>998.2</v>
      </c>
      <c r="E4" s="244">
        <v>5.3999999999999999E-2</v>
      </c>
      <c r="F4" s="268">
        <f>D4*E4</f>
        <v>53.902799999999999</v>
      </c>
      <c r="G4" s="279">
        <f>$H$4/D4</f>
        <v>0.60314565350427007</v>
      </c>
      <c r="H4" s="613">
        <f>2000/(LOG(0.1,0.5))</f>
        <v>602.05999132796239</v>
      </c>
      <c r="I4" s="279">
        <f>$J$4/D4</f>
        <v>0.13570777203846077</v>
      </c>
      <c r="J4" s="626">
        <f>450/(LOG(0.1,0.5))</f>
        <v>135.46349804879154</v>
      </c>
      <c r="K4" s="279">
        <f>$L$4/D4</f>
        <v>1.3570777203846078</v>
      </c>
      <c r="L4" s="626">
        <f>4500/(LOG(0.1,0.5))</f>
        <v>1354.6349804879155</v>
      </c>
    </row>
    <row r="5" spans="2:12">
      <c r="B5" s="244">
        <v>2</v>
      </c>
      <c r="C5" s="244" t="s">
        <v>1190</v>
      </c>
      <c r="D5" s="268">
        <v>900</v>
      </c>
      <c r="E5" s="244">
        <v>6.6000000000000003E-2</v>
      </c>
      <c r="F5" s="268">
        <f t="shared" ref="F5:F11" si="0">D5*E5</f>
        <v>59.400000000000006</v>
      </c>
      <c r="G5" s="279">
        <f t="shared" ref="G5:G11" si="1">$H$4/D5</f>
        <v>0.66895554591995821</v>
      </c>
      <c r="H5" s="613"/>
      <c r="I5" s="279">
        <f>$J$4/D5</f>
        <v>0.1505149978319906</v>
      </c>
      <c r="J5" s="626"/>
      <c r="K5" s="279">
        <f t="shared" ref="K5:K11" si="2">$L$4/D5</f>
        <v>1.505149978319906</v>
      </c>
      <c r="L5" s="626"/>
    </row>
    <row r="6" spans="2:12">
      <c r="B6" s="244">
        <v>3</v>
      </c>
      <c r="C6" s="244" t="s">
        <v>85</v>
      </c>
      <c r="D6" s="268">
        <v>2700</v>
      </c>
      <c r="E6" s="244">
        <v>7.8E-2</v>
      </c>
      <c r="F6" s="268">
        <f t="shared" si="0"/>
        <v>210.6</v>
      </c>
      <c r="G6" s="279">
        <f t="shared" si="1"/>
        <v>0.2229851819733194</v>
      </c>
      <c r="H6" s="613"/>
      <c r="I6" s="279">
        <f t="shared" ref="I6:I11" si="3">$J$4/D6</f>
        <v>5.0171665943996864E-2</v>
      </c>
      <c r="J6" s="626"/>
      <c r="K6" s="279">
        <f t="shared" si="2"/>
        <v>0.50171665943996868</v>
      </c>
      <c r="L6" s="626"/>
    </row>
    <row r="7" spans="2:12">
      <c r="B7" s="244">
        <v>4</v>
      </c>
      <c r="C7" s="244" t="s">
        <v>1191</v>
      </c>
      <c r="D7" s="268">
        <v>7850</v>
      </c>
      <c r="E7" s="244">
        <v>4.9000000000000002E-2</v>
      </c>
      <c r="F7" s="268">
        <f t="shared" si="0"/>
        <v>384.65000000000003</v>
      </c>
      <c r="G7" s="279">
        <f t="shared" si="1"/>
        <v>7.6695540296555717E-2</v>
      </c>
      <c r="H7" s="613"/>
      <c r="I7" s="279">
        <f t="shared" si="3"/>
        <v>1.7256496566725038E-2</v>
      </c>
      <c r="J7" s="626"/>
      <c r="K7" s="279">
        <f t="shared" si="2"/>
        <v>0.17256496566725038</v>
      </c>
      <c r="L7" s="626"/>
    </row>
    <row r="8" spans="2:12">
      <c r="B8" s="244">
        <v>5</v>
      </c>
      <c r="C8" s="244" t="s">
        <v>1192</v>
      </c>
      <c r="D8" s="268">
        <v>11340</v>
      </c>
      <c r="E8" s="244">
        <v>6.8000000000000005E-2</v>
      </c>
      <c r="F8" s="268">
        <f t="shared" si="0"/>
        <v>771.12</v>
      </c>
      <c r="G8" s="279">
        <f t="shared" si="1"/>
        <v>5.3091709993647478E-2</v>
      </c>
      <c r="H8" s="613"/>
      <c r="I8" s="279">
        <f t="shared" si="3"/>
        <v>1.1945634748570683E-2</v>
      </c>
      <c r="J8" s="626"/>
      <c r="K8" s="279">
        <f t="shared" si="2"/>
        <v>0.11945634748570684</v>
      </c>
      <c r="L8" s="626"/>
    </row>
    <row r="9" spans="2:12">
      <c r="B9" s="244">
        <v>6</v>
      </c>
      <c r="C9" s="244" t="s">
        <v>1199</v>
      </c>
      <c r="D9" s="268">
        <v>1460</v>
      </c>
      <c r="E9" s="244">
        <v>2.0500000000000002E-3</v>
      </c>
      <c r="F9" s="268">
        <f t="shared" si="0"/>
        <v>2.9930000000000003</v>
      </c>
      <c r="G9" s="279">
        <f t="shared" si="1"/>
        <v>0.41236985707394685</v>
      </c>
      <c r="H9" s="613"/>
      <c r="I9" s="279">
        <f t="shared" si="3"/>
        <v>9.2783217841638038E-2</v>
      </c>
      <c r="J9" s="626"/>
      <c r="K9" s="279">
        <f t="shared" si="2"/>
        <v>0.92783217841638055</v>
      </c>
      <c r="L9" s="626"/>
    </row>
    <row r="10" spans="2:12">
      <c r="B10" s="244">
        <v>7</v>
      </c>
      <c r="C10" s="244" t="s">
        <v>102</v>
      </c>
      <c r="D10" s="268">
        <v>1850</v>
      </c>
      <c r="E10" s="244">
        <v>6.2270000000000003</v>
      </c>
      <c r="F10" s="268">
        <f t="shared" si="0"/>
        <v>11519.95</v>
      </c>
      <c r="G10" s="279">
        <f t="shared" si="1"/>
        <v>0.32543783315024993</v>
      </c>
      <c r="H10" s="613"/>
      <c r="I10" s="279">
        <f t="shared" si="3"/>
        <v>7.3223512458806234E-2</v>
      </c>
      <c r="J10" s="626"/>
      <c r="K10" s="279">
        <f t="shared" si="2"/>
        <v>0.7322351245880625</v>
      </c>
      <c r="L10" s="626"/>
    </row>
    <row r="11" spans="2:12">
      <c r="B11" s="244">
        <v>8</v>
      </c>
      <c r="C11" s="244" t="s">
        <v>89</v>
      </c>
      <c r="D11" s="268">
        <v>19300</v>
      </c>
      <c r="E11" s="244">
        <v>5.7099999999999998E-3</v>
      </c>
      <c r="F11" s="268">
        <f t="shared" si="0"/>
        <v>110.203</v>
      </c>
      <c r="G11" s="279">
        <f t="shared" si="1"/>
        <v>3.1194818203521369E-2</v>
      </c>
      <c r="H11" s="613"/>
      <c r="I11" s="279">
        <f t="shared" si="3"/>
        <v>7.018834095792308E-3</v>
      </c>
      <c r="J11" s="626"/>
      <c r="K11" s="279">
        <f t="shared" si="2"/>
        <v>7.018834095792309E-2</v>
      </c>
      <c r="L11" s="626"/>
    </row>
  </sheetData>
  <mergeCells count="7">
    <mergeCell ref="H4:H11"/>
    <mergeCell ref="J4:J11"/>
    <mergeCell ref="L4:L11"/>
    <mergeCell ref="E2:F2"/>
    <mergeCell ref="G2:H2"/>
    <mergeCell ref="I2:J2"/>
    <mergeCell ref="K2:L2"/>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A7406-D9EF-4BB2-B3EA-98AFB64049F6}">
  <sheetPr codeName="Sheet7">
    <tabColor theme="1"/>
  </sheetPr>
  <dimension ref="B2:Z124"/>
  <sheetViews>
    <sheetView topLeftCell="J13" zoomScale="88" workbookViewId="0">
      <selection activeCell="O28" sqref="O28:Q29"/>
    </sheetView>
  </sheetViews>
  <sheetFormatPr defaultRowHeight="14.25"/>
  <cols>
    <col min="2" max="2" width="7.53125" bestFit="1" customWidth="1"/>
    <col min="3" max="3" width="6.59765625" customWidth="1"/>
    <col min="4" max="4" width="12.53125" customWidth="1"/>
    <col min="5" max="5" width="9.33203125" customWidth="1"/>
    <col min="7" max="8" width="9.06640625" style="34"/>
    <col min="23" max="23" width="77.59765625" customWidth="1"/>
    <col min="24" max="24" width="9.06640625" customWidth="1"/>
    <col min="25" max="25" width="148.3984375" customWidth="1"/>
    <col min="26" max="26" width="19.86328125" customWidth="1"/>
  </cols>
  <sheetData>
    <row r="2" spans="2:26" ht="33" customHeight="1" thickBot="1">
      <c r="B2" s="596" t="s">
        <v>632</v>
      </c>
      <c r="C2" s="596"/>
      <c r="D2" s="596"/>
      <c r="E2" s="598" t="s">
        <v>1110</v>
      </c>
      <c r="F2" s="598"/>
      <c r="G2" s="598"/>
      <c r="H2" s="598"/>
      <c r="I2" s="598"/>
      <c r="J2" s="598"/>
      <c r="K2" s="598"/>
      <c r="L2" s="598"/>
      <c r="M2" s="155" t="s">
        <v>631</v>
      </c>
      <c r="V2" t="s">
        <v>1186</v>
      </c>
    </row>
    <row r="3" spans="2:26" ht="14.65" thickTop="1">
      <c r="V3" s="647" t="s">
        <v>1175</v>
      </c>
      <c r="W3" s="649" t="s">
        <v>1137</v>
      </c>
      <c r="X3" s="649" t="s">
        <v>1138</v>
      </c>
      <c r="Y3" s="649" t="s">
        <v>1139</v>
      </c>
      <c r="Z3" s="650" t="s">
        <v>1140</v>
      </c>
    </row>
    <row r="4" spans="2:26">
      <c r="B4" s="634"/>
      <c r="C4" s="635" t="s">
        <v>397</v>
      </c>
      <c r="D4" s="635" t="s">
        <v>398</v>
      </c>
      <c r="E4" s="635" t="s">
        <v>399</v>
      </c>
      <c r="F4" s="635" t="s">
        <v>674</v>
      </c>
      <c r="G4" s="638"/>
      <c r="H4" s="641">
        <v>0</v>
      </c>
      <c r="J4" t="s">
        <v>673</v>
      </c>
      <c r="K4" t="str">
        <f>G124</f>
        <v/>
      </c>
      <c r="O4" s="596" t="s">
        <v>1118</v>
      </c>
      <c r="P4" s="596"/>
      <c r="Q4" s="596"/>
      <c r="V4" s="648"/>
      <c r="W4" s="614"/>
      <c r="X4" s="614"/>
      <c r="Y4" s="614"/>
      <c r="Z4" s="651"/>
    </row>
    <row r="5" spans="2:26">
      <c r="B5" s="634"/>
      <c r="C5" s="635"/>
      <c r="D5" s="635"/>
      <c r="E5" s="635"/>
      <c r="F5" s="635"/>
      <c r="G5" s="639"/>
      <c r="H5" s="642"/>
      <c r="O5" s="596"/>
      <c r="P5" s="596"/>
      <c r="Q5" s="596"/>
      <c r="V5" s="648"/>
      <c r="W5" s="614"/>
      <c r="X5" s="614"/>
      <c r="Y5" s="614"/>
      <c r="Z5" s="651"/>
    </row>
    <row r="6" spans="2:26">
      <c r="B6" s="634"/>
      <c r="C6" s="635"/>
      <c r="D6" s="635"/>
      <c r="E6" s="635"/>
      <c r="F6" s="635"/>
      <c r="G6" s="640"/>
      <c r="H6" s="643"/>
      <c r="J6" t="s">
        <v>672</v>
      </c>
      <c r="K6">
        <f>H124</f>
        <v>0</v>
      </c>
      <c r="L6" t="s">
        <v>633</v>
      </c>
      <c r="V6" s="646" t="s">
        <v>1141</v>
      </c>
      <c r="W6" s="614" t="s">
        <v>1142</v>
      </c>
      <c r="X6" s="614" t="s">
        <v>726</v>
      </c>
      <c r="Y6" s="614" t="s">
        <v>1143</v>
      </c>
      <c r="Z6" s="645" t="s">
        <v>1144</v>
      </c>
    </row>
    <row r="7" spans="2:26">
      <c r="B7" s="87">
        <v>1</v>
      </c>
      <c r="C7" s="87" t="s">
        <v>400</v>
      </c>
      <c r="D7" s="87" t="s">
        <v>401</v>
      </c>
      <c r="E7" s="106">
        <v>1.008</v>
      </c>
      <c r="F7" s="107"/>
      <c r="G7" s="108" t="str">
        <f t="shared" ref="G7:G38" si="0">IF(F7&gt;0,C7&amp;F7,"")&amp;G6</f>
        <v/>
      </c>
      <c r="H7" s="109">
        <f>F7*E7+H4</f>
        <v>0</v>
      </c>
      <c r="J7" t="s">
        <v>675</v>
      </c>
      <c r="K7">
        <f>SUM(F7:F124)</f>
        <v>0</v>
      </c>
      <c r="O7" s="634"/>
      <c r="P7" s="634"/>
      <c r="Q7" s="634"/>
      <c r="R7" s="87" t="s">
        <v>1119</v>
      </c>
      <c r="S7" s="87" t="s">
        <v>1120</v>
      </c>
      <c r="T7" s="87" t="s">
        <v>1121</v>
      </c>
      <c r="V7" s="646"/>
      <c r="W7" s="614"/>
      <c r="X7" s="614"/>
      <c r="Y7" s="614"/>
      <c r="Z7" s="645"/>
    </row>
    <row r="8" spans="2:26">
      <c r="B8" s="87">
        <v>2</v>
      </c>
      <c r="C8" s="87" t="s">
        <v>402</v>
      </c>
      <c r="D8" s="87" t="s">
        <v>403</v>
      </c>
      <c r="E8" s="106">
        <v>4.0030000000000001</v>
      </c>
      <c r="F8" s="87"/>
      <c r="G8" s="110" t="str">
        <f t="shared" si="0"/>
        <v/>
      </c>
      <c r="H8" s="111">
        <f t="shared" ref="H8:H39" si="1">F8*E8+H7</f>
        <v>0</v>
      </c>
      <c r="N8" s="155"/>
      <c r="O8" s="644" t="s">
        <v>1112</v>
      </c>
      <c r="P8" s="644"/>
      <c r="Q8" s="644"/>
      <c r="R8" s="87">
        <v>165</v>
      </c>
      <c r="S8" s="160">
        <f t="shared" ref="S8:S13" si="2">R8/$R$14</f>
        <v>0.82499999999999996</v>
      </c>
      <c r="T8" s="87" t="s">
        <v>1122</v>
      </c>
      <c r="V8" s="646"/>
      <c r="W8" s="614"/>
      <c r="X8" s="614"/>
      <c r="Y8" s="614"/>
      <c r="Z8" s="645"/>
    </row>
    <row r="9" spans="2:26">
      <c r="B9" s="87">
        <v>3</v>
      </c>
      <c r="C9" s="87" t="s">
        <v>404</v>
      </c>
      <c r="D9" s="87" t="s">
        <v>405</v>
      </c>
      <c r="E9" s="106">
        <v>6.968</v>
      </c>
      <c r="F9" s="87"/>
      <c r="G9" s="110" t="str">
        <f t="shared" si="0"/>
        <v/>
      </c>
      <c r="H9" s="111">
        <f t="shared" si="1"/>
        <v>0</v>
      </c>
      <c r="N9" s="155"/>
      <c r="O9" s="644" t="s">
        <v>1113</v>
      </c>
      <c r="P9" s="644"/>
      <c r="Q9" s="644"/>
      <c r="R9" s="87">
        <v>7</v>
      </c>
      <c r="S9" s="160">
        <f t="shared" si="2"/>
        <v>3.5000000000000003E-2</v>
      </c>
      <c r="T9" s="87" t="s">
        <v>1123</v>
      </c>
      <c r="V9" s="646"/>
      <c r="W9" s="614"/>
      <c r="X9" s="614"/>
      <c r="Y9" s="614"/>
      <c r="Z9" s="645"/>
    </row>
    <row r="10" spans="2:26">
      <c r="B10" s="87">
        <v>4</v>
      </c>
      <c r="C10" s="87" t="s">
        <v>406</v>
      </c>
      <c r="D10" s="87" t="s">
        <v>407</v>
      </c>
      <c r="E10" s="106">
        <v>9.0120000000000005</v>
      </c>
      <c r="F10" s="87"/>
      <c r="G10" s="110" t="str">
        <f t="shared" si="0"/>
        <v/>
      </c>
      <c r="H10" s="111">
        <f t="shared" si="1"/>
        <v>0</v>
      </c>
      <c r="N10" s="155"/>
      <c r="O10" s="644" t="s">
        <v>1114</v>
      </c>
      <c r="P10" s="644"/>
      <c r="Q10" s="644"/>
      <c r="R10" s="87">
        <v>5</v>
      </c>
      <c r="S10" s="160">
        <f t="shared" si="2"/>
        <v>2.5000000000000001E-2</v>
      </c>
      <c r="T10" s="87" t="s">
        <v>1123</v>
      </c>
      <c r="V10" s="646" t="s">
        <v>1145</v>
      </c>
      <c r="W10" s="614" t="s">
        <v>1146</v>
      </c>
      <c r="X10" s="614" t="s">
        <v>1147</v>
      </c>
      <c r="Y10" s="614" t="s">
        <v>1176</v>
      </c>
      <c r="Z10" s="645" t="s">
        <v>1148</v>
      </c>
    </row>
    <row r="11" spans="2:26">
      <c r="B11" s="87">
        <v>5</v>
      </c>
      <c r="C11" s="87" t="s">
        <v>408</v>
      </c>
      <c r="D11" s="87" t="s">
        <v>409</v>
      </c>
      <c r="E11" s="106">
        <v>10.81</v>
      </c>
      <c r="F11" s="87"/>
      <c r="G11" s="110" t="str">
        <f t="shared" si="0"/>
        <v/>
      </c>
      <c r="H11" s="111">
        <f t="shared" si="1"/>
        <v>0</v>
      </c>
      <c r="N11" s="155"/>
      <c r="O11" s="644" t="s">
        <v>1115</v>
      </c>
      <c r="P11" s="644"/>
      <c r="Q11" s="644"/>
      <c r="R11" s="87">
        <v>7</v>
      </c>
      <c r="S11" s="160">
        <f t="shared" si="2"/>
        <v>3.5000000000000003E-2</v>
      </c>
      <c r="T11" s="87" t="s">
        <v>1124</v>
      </c>
      <c r="V11" s="646"/>
      <c r="W11" s="614"/>
      <c r="X11" s="614"/>
      <c r="Y11" s="614"/>
      <c r="Z11" s="645"/>
    </row>
    <row r="12" spans="2:26">
      <c r="B12" s="87">
        <v>6</v>
      </c>
      <c r="C12" s="87" t="s">
        <v>410</v>
      </c>
      <c r="D12" s="87" t="s">
        <v>411</v>
      </c>
      <c r="E12" s="106">
        <v>12.01</v>
      </c>
      <c r="F12" s="87"/>
      <c r="G12" s="110" t="str">
        <f t="shared" si="0"/>
        <v/>
      </c>
      <c r="H12" s="111">
        <f t="shared" si="1"/>
        <v>0</v>
      </c>
      <c r="N12" s="155"/>
      <c r="O12" s="644" t="s">
        <v>1116</v>
      </c>
      <c r="P12" s="644"/>
      <c r="Q12" s="644"/>
      <c r="R12" s="87">
        <v>6</v>
      </c>
      <c r="S12" s="160">
        <f t="shared" si="2"/>
        <v>0.03</v>
      </c>
      <c r="T12" s="87" t="s">
        <v>1124</v>
      </c>
      <c r="V12" s="646"/>
      <c r="W12" s="614"/>
      <c r="X12" s="614"/>
      <c r="Y12" s="614"/>
      <c r="Z12" s="645"/>
    </row>
    <row r="13" spans="2:26">
      <c r="B13" s="87">
        <v>7</v>
      </c>
      <c r="C13" s="87" t="s">
        <v>412</v>
      </c>
      <c r="D13" s="87" t="s">
        <v>413</v>
      </c>
      <c r="E13" s="106">
        <v>14.01</v>
      </c>
      <c r="F13" s="87"/>
      <c r="G13" s="110" t="str">
        <f t="shared" si="0"/>
        <v/>
      </c>
      <c r="H13" s="111">
        <f t="shared" si="1"/>
        <v>0</v>
      </c>
      <c r="N13" s="155"/>
      <c r="O13" s="644" t="s">
        <v>1117</v>
      </c>
      <c r="P13" s="644"/>
      <c r="Q13" s="644"/>
      <c r="R13" s="87">
        <v>10</v>
      </c>
      <c r="S13" s="160">
        <f t="shared" si="2"/>
        <v>0.05</v>
      </c>
      <c r="T13" s="87" t="s">
        <v>1124</v>
      </c>
      <c r="V13" s="646"/>
      <c r="W13" s="614"/>
      <c r="X13" s="614"/>
      <c r="Y13" s="614"/>
      <c r="Z13" s="645"/>
    </row>
    <row r="14" spans="2:26">
      <c r="B14" s="87">
        <v>8</v>
      </c>
      <c r="C14" s="87" t="s">
        <v>414</v>
      </c>
      <c r="D14" s="87" t="s">
        <v>415</v>
      </c>
      <c r="E14" s="106">
        <v>16</v>
      </c>
      <c r="F14" s="87"/>
      <c r="G14" s="110" t="str">
        <f t="shared" si="0"/>
        <v/>
      </c>
      <c r="H14" s="111">
        <f t="shared" si="1"/>
        <v>0</v>
      </c>
      <c r="N14" s="155"/>
      <c r="O14" s="644" t="s">
        <v>1111</v>
      </c>
      <c r="P14" s="644"/>
      <c r="Q14" s="644"/>
      <c r="R14" s="87">
        <v>200</v>
      </c>
      <c r="S14" s="87">
        <v>1</v>
      </c>
      <c r="T14" s="87"/>
      <c r="V14" s="646" t="s">
        <v>1149</v>
      </c>
      <c r="W14" s="614" t="s">
        <v>1177</v>
      </c>
      <c r="X14" s="614" t="s">
        <v>1150</v>
      </c>
      <c r="Y14" s="614" t="s">
        <v>1178</v>
      </c>
      <c r="Z14" s="645" t="s">
        <v>1151</v>
      </c>
    </row>
    <row r="15" spans="2:26">
      <c r="B15" s="87">
        <v>9</v>
      </c>
      <c r="C15" s="87" t="s">
        <v>416</v>
      </c>
      <c r="D15" s="87" t="s">
        <v>417</v>
      </c>
      <c r="E15" s="106">
        <v>19</v>
      </c>
      <c r="F15" s="87"/>
      <c r="G15" s="110" t="str">
        <f t="shared" si="0"/>
        <v/>
      </c>
      <c r="H15" s="111">
        <f t="shared" si="1"/>
        <v>0</v>
      </c>
      <c r="V15" s="646"/>
      <c r="W15" s="614"/>
      <c r="X15" s="614"/>
      <c r="Y15" s="614"/>
      <c r="Z15" s="645"/>
    </row>
    <row r="16" spans="2:26">
      <c r="B16" s="87">
        <v>10</v>
      </c>
      <c r="C16" s="87" t="s">
        <v>418</v>
      </c>
      <c r="D16" s="87" t="s">
        <v>419</v>
      </c>
      <c r="E16" s="106">
        <v>20.18</v>
      </c>
      <c r="F16" s="87"/>
      <c r="G16" s="110" t="str">
        <f t="shared" si="0"/>
        <v/>
      </c>
      <c r="H16" s="111">
        <f t="shared" si="1"/>
        <v>0</v>
      </c>
      <c r="V16" s="646"/>
      <c r="W16" s="614"/>
      <c r="X16" s="614"/>
      <c r="Y16" s="614"/>
      <c r="Z16" s="645"/>
    </row>
    <row r="17" spans="2:26">
      <c r="B17" s="87">
        <v>11</v>
      </c>
      <c r="C17" s="87" t="s">
        <v>420</v>
      </c>
      <c r="D17" s="87" t="s">
        <v>421</v>
      </c>
      <c r="E17" s="106">
        <v>22.99</v>
      </c>
      <c r="F17" s="87"/>
      <c r="G17" s="110" t="str">
        <f t="shared" si="0"/>
        <v/>
      </c>
      <c r="H17" s="111">
        <f t="shared" si="1"/>
        <v>0</v>
      </c>
      <c r="V17" s="646"/>
      <c r="W17" s="614"/>
      <c r="X17" s="614"/>
      <c r="Y17" s="614"/>
      <c r="Z17" s="645"/>
    </row>
    <row r="18" spans="2:26">
      <c r="B18" s="87">
        <v>12</v>
      </c>
      <c r="C18" s="87" t="s">
        <v>422</v>
      </c>
      <c r="D18" s="87" t="s">
        <v>423</v>
      </c>
      <c r="E18" s="106">
        <v>24.31</v>
      </c>
      <c r="F18" s="87"/>
      <c r="G18" s="110" t="str">
        <f t="shared" si="0"/>
        <v/>
      </c>
      <c r="H18" s="111">
        <f t="shared" si="1"/>
        <v>0</v>
      </c>
      <c r="V18" s="646" t="s">
        <v>1152</v>
      </c>
      <c r="W18" s="614" t="s">
        <v>1179</v>
      </c>
      <c r="X18" s="614" t="s">
        <v>1153</v>
      </c>
      <c r="Y18" s="614" t="s">
        <v>1180</v>
      </c>
      <c r="Z18" s="645" t="s">
        <v>1154</v>
      </c>
    </row>
    <row r="19" spans="2:26">
      <c r="B19" s="87">
        <v>13</v>
      </c>
      <c r="C19" s="87" t="s">
        <v>424</v>
      </c>
      <c r="D19" s="87" t="s">
        <v>425</v>
      </c>
      <c r="E19" s="106">
        <v>26.98</v>
      </c>
      <c r="F19" s="87"/>
      <c r="G19" s="110" t="str">
        <f t="shared" si="0"/>
        <v/>
      </c>
      <c r="H19" s="111">
        <f t="shared" si="1"/>
        <v>0</v>
      </c>
      <c r="J19" s="596" t="s">
        <v>917</v>
      </c>
      <c r="K19" s="596"/>
      <c r="L19" s="596"/>
      <c r="O19" s="616" t="s">
        <v>919</v>
      </c>
      <c r="P19" s="616"/>
      <c r="Q19" s="616"/>
      <c r="V19" s="646"/>
      <c r="W19" s="614"/>
      <c r="X19" s="614"/>
      <c r="Y19" s="614"/>
      <c r="Z19" s="645"/>
    </row>
    <row r="20" spans="2:26">
      <c r="B20" s="87">
        <v>14</v>
      </c>
      <c r="C20" s="87" t="s">
        <v>426</v>
      </c>
      <c r="D20" s="87" t="s">
        <v>427</v>
      </c>
      <c r="E20" s="106">
        <v>28.09</v>
      </c>
      <c r="F20" s="87"/>
      <c r="G20" s="110" t="str">
        <f t="shared" si="0"/>
        <v/>
      </c>
      <c r="H20" s="111">
        <f t="shared" si="1"/>
        <v>0</v>
      </c>
      <c r="J20" s="596"/>
      <c r="K20" s="596"/>
      <c r="L20" s="596"/>
      <c r="O20" s="616"/>
      <c r="P20" s="616"/>
      <c r="Q20" s="616"/>
      <c r="V20" s="646"/>
      <c r="W20" s="614"/>
      <c r="X20" s="614"/>
      <c r="Y20" s="614"/>
      <c r="Z20" s="645"/>
    </row>
    <row r="21" spans="2:26">
      <c r="B21" s="87">
        <v>15</v>
      </c>
      <c r="C21" s="87" t="s">
        <v>356</v>
      </c>
      <c r="D21" s="87" t="s">
        <v>428</v>
      </c>
      <c r="E21" s="106">
        <v>30.97</v>
      </c>
      <c r="F21" s="87"/>
      <c r="G21" s="110" t="str">
        <f t="shared" si="0"/>
        <v/>
      </c>
      <c r="H21" s="111">
        <f t="shared" si="1"/>
        <v>0</v>
      </c>
      <c r="V21" s="646"/>
      <c r="W21" s="614"/>
      <c r="X21" s="614"/>
      <c r="Y21" s="614"/>
      <c r="Z21" s="645"/>
    </row>
    <row r="22" spans="2:26">
      <c r="B22" s="87">
        <v>16</v>
      </c>
      <c r="C22" s="87" t="s">
        <v>429</v>
      </c>
      <c r="D22" s="87" t="s">
        <v>430</v>
      </c>
      <c r="E22" s="106">
        <v>32.07</v>
      </c>
      <c r="F22" s="87"/>
      <c r="G22" s="110" t="str">
        <f t="shared" si="0"/>
        <v/>
      </c>
      <c r="H22" s="111">
        <f t="shared" si="1"/>
        <v>0</v>
      </c>
      <c r="J22" s="19" t="s">
        <v>349</v>
      </c>
      <c r="K22" s="19" t="s">
        <v>350</v>
      </c>
      <c r="L22" s="100">
        <f t="shared" ref="L22:L41" si="3">1*10^(M22)</f>
        <v>9.9999999999999998E+23</v>
      </c>
      <c r="M22" s="19">
        <v>24</v>
      </c>
      <c r="O22" s="87"/>
      <c r="P22" s="87" t="s">
        <v>684</v>
      </c>
      <c r="Q22" s="87" t="s">
        <v>806</v>
      </c>
      <c r="R22" s="87" t="s">
        <v>785</v>
      </c>
      <c r="V22" s="648" t="s">
        <v>1155</v>
      </c>
      <c r="W22" s="614" t="s">
        <v>1181</v>
      </c>
      <c r="X22" s="614" t="s">
        <v>1153</v>
      </c>
      <c r="Y22" s="614" t="s">
        <v>1182</v>
      </c>
      <c r="Z22" s="645" t="s">
        <v>1156</v>
      </c>
    </row>
    <row r="23" spans="2:26">
      <c r="B23" s="87">
        <v>17</v>
      </c>
      <c r="C23" s="87" t="s">
        <v>431</v>
      </c>
      <c r="D23" s="87" t="s">
        <v>432</v>
      </c>
      <c r="E23" s="106">
        <v>35.450000000000003</v>
      </c>
      <c r="F23" s="87"/>
      <c r="G23" s="110" t="str">
        <f t="shared" si="0"/>
        <v/>
      </c>
      <c r="H23" s="111">
        <f t="shared" si="1"/>
        <v>0</v>
      </c>
      <c r="J23" s="19" t="s">
        <v>351</v>
      </c>
      <c r="K23" s="19" t="s">
        <v>352</v>
      </c>
      <c r="L23" s="100">
        <f t="shared" si="3"/>
        <v>1E+21</v>
      </c>
      <c r="M23" s="19">
        <v>21</v>
      </c>
      <c r="O23" s="87" t="s">
        <v>803</v>
      </c>
      <c r="P23" s="87">
        <f>3/2*8.314</f>
        <v>12.471</v>
      </c>
      <c r="Q23" s="87">
        <f>P23+8.314</f>
        <v>20.785</v>
      </c>
      <c r="R23" s="87">
        <v>1.67</v>
      </c>
      <c r="V23" s="648"/>
      <c r="W23" s="614"/>
      <c r="X23" s="614"/>
      <c r="Y23" s="614"/>
      <c r="Z23" s="645"/>
    </row>
    <row r="24" spans="2:26">
      <c r="B24" s="87">
        <v>18</v>
      </c>
      <c r="C24" s="87" t="s">
        <v>433</v>
      </c>
      <c r="D24" s="87" t="s">
        <v>434</v>
      </c>
      <c r="E24" s="106">
        <v>39.950000000000003</v>
      </c>
      <c r="F24" s="87"/>
      <c r="G24" s="110" t="str">
        <f t="shared" si="0"/>
        <v/>
      </c>
      <c r="H24" s="111">
        <f t="shared" si="1"/>
        <v>0</v>
      </c>
      <c r="J24" s="19" t="s">
        <v>353</v>
      </c>
      <c r="K24" s="19" t="s">
        <v>354</v>
      </c>
      <c r="L24" s="100">
        <f t="shared" si="3"/>
        <v>1E+18</v>
      </c>
      <c r="M24" s="19">
        <v>18</v>
      </c>
      <c r="O24" s="87" t="s">
        <v>804</v>
      </c>
      <c r="P24" s="87">
        <f>5/2*8.314</f>
        <v>20.785</v>
      </c>
      <c r="Q24" s="87">
        <f>P24+8.314</f>
        <v>29.099</v>
      </c>
      <c r="R24" s="87">
        <v>1.4</v>
      </c>
      <c r="V24" s="648"/>
      <c r="W24" s="614"/>
      <c r="X24" s="614"/>
      <c r="Y24" s="614"/>
      <c r="Z24" s="645"/>
    </row>
    <row r="25" spans="2:26">
      <c r="B25" s="87">
        <v>19</v>
      </c>
      <c r="C25" s="87" t="s">
        <v>394</v>
      </c>
      <c r="D25" s="87" t="s">
        <v>435</v>
      </c>
      <c r="E25" s="106">
        <v>39.1</v>
      </c>
      <c r="F25" s="87"/>
      <c r="G25" s="110" t="str">
        <f t="shared" si="0"/>
        <v/>
      </c>
      <c r="H25" s="111">
        <f t="shared" si="1"/>
        <v>0</v>
      </c>
      <c r="J25" s="19" t="s">
        <v>355</v>
      </c>
      <c r="K25" s="19" t="s">
        <v>356</v>
      </c>
      <c r="L25" s="100">
        <f t="shared" si="3"/>
        <v>1000000000000000</v>
      </c>
      <c r="M25" s="19">
        <v>15</v>
      </c>
      <c r="O25" s="87" t="s">
        <v>805</v>
      </c>
      <c r="P25" s="87">
        <f>7/2*8.314</f>
        <v>29.099</v>
      </c>
      <c r="Q25" s="87">
        <f>P25+8.314</f>
        <v>37.412999999999997</v>
      </c>
      <c r="R25" s="87">
        <v>1.3</v>
      </c>
      <c r="V25" s="648"/>
      <c r="W25" s="614"/>
      <c r="X25" s="614"/>
      <c r="Y25" s="614"/>
      <c r="Z25" s="645"/>
    </row>
    <row r="26" spans="2:26">
      <c r="B26" s="87">
        <v>20</v>
      </c>
      <c r="C26" s="87" t="s">
        <v>436</v>
      </c>
      <c r="D26" s="87" t="s">
        <v>437</v>
      </c>
      <c r="E26" s="106">
        <v>40.08</v>
      </c>
      <c r="F26" s="87"/>
      <c r="G26" s="110" t="str">
        <f t="shared" si="0"/>
        <v/>
      </c>
      <c r="H26" s="111">
        <f t="shared" si="1"/>
        <v>0</v>
      </c>
      <c r="J26" s="19" t="s">
        <v>357</v>
      </c>
      <c r="K26" s="19" t="s">
        <v>358</v>
      </c>
      <c r="L26" s="100">
        <f t="shared" si="3"/>
        <v>1000000000000</v>
      </c>
      <c r="M26" s="19">
        <v>12</v>
      </c>
      <c r="V26" s="646" t="s">
        <v>1157</v>
      </c>
      <c r="W26" s="614" t="s">
        <v>1158</v>
      </c>
      <c r="X26" s="613" t="s">
        <v>1159</v>
      </c>
      <c r="Y26" s="614" t="s">
        <v>1160</v>
      </c>
      <c r="Z26" s="645" t="s">
        <v>1161</v>
      </c>
    </row>
    <row r="27" spans="2:26">
      <c r="B27" s="87">
        <v>21</v>
      </c>
      <c r="C27" s="87" t="s">
        <v>438</v>
      </c>
      <c r="D27" s="87" t="s">
        <v>439</v>
      </c>
      <c r="E27" s="106">
        <v>44.96</v>
      </c>
      <c r="F27" s="87"/>
      <c r="G27" s="110" t="str">
        <f t="shared" si="0"/>
        <v/>
      </c>
      <c r="H27" s="111">
        <f t="shared" si="1"/>
        <v>0</v>
      </c>
      <c r="J27" s="19" t="s">
        <v>359</v>
      </c>
      <c r="K27" s="19" t="s">
        <v>360</v>
      </c>
      <c r="L27" s="100">
        <f t="shared" si="3"/>
        <v>1000000000</v>
      </c>
      <c r="M27" s="19">
        <v>9</v>
      </c>
      <c r="V27" s="646"/>
      <c r="W27" s="614"/>
      <c r="X27" s="613"/>
      <c r="Y27" s="614"/>
      <c r="Z27" s="645"/>
    </row>
    <row r="28" spans="2:26">
      <c r="B28" s="87">
        <v>22</v>
      </c>
      <c r="C28" s="87" t="s">
        <v>440</v>
      </c>
      <c r="D28" s="87" t="s">
        <v>441</v>
      </c>
      <c r="E28" s="106">
        <v>47.87</v>
      </c>
      <c r="F28" s="87"/>
      <c r="G28" s="110" t="str">
        <f t="shared" si="0"/>
        <v/>
      </c>
      <c r="H28" s="111">
        <f t="shared" si="1"/>
        <v>0</v>
      </c>
      <c r="J28" s="19" t="s">
        <v>361</v>
      </c>
      <c r="K28" s="19" t="s">
        <v>362</v>
      </c>
      <c r="L28" s="100">
        <f t="shared" si="3"/>
        <v>1000000</v>
      </c>
      <c r="M28" s="19">
        <v>6</v>
      </c>
      <c r="O28" s="596" t="s">
        <v>2345</v>
      </c>
      <c r="P28" s="596"/>
      <c r="Q28" s="596"/>
      <c r="V28" s="646"/>
      <c r="W28" s="614"/>
      <c r="X28" s="613"/>
      <c r="Y28" s="614"/>
      <c r="Z28" s="645"/>
    </row>
    <row r="29" spans="2:26">
      <c r="B29" s="87">
        <v>23</v>
      </c>
      <c r="C29" s="87" t="s">
        <v>442</v>
      </c>
      <c r="D29" s="87" t="s">
        <v>443</v>
      </c>
      <c r="E29" s="106">
        <v>50.94</v>
      </c>
      <c r="F29" s="87"/>
      <c r="G29" s="110" t="str">
        <f t="shared" si="0"/>
        <v/>
      </c>
      <c r="H29" s="111">
        <f t="shared" si="1"/>
        <v>0</v>
      </c>
      <c r="J29" s="19" t="s">
        <v>363</v>
      </c>
      <c r="K29" s="19" t="s">
        <v>364</v>
      </c>
      <c r="L29" s="100">
        <f t="shared" si="3"/>
        <v>1000</v>
      </c>
      <c r="M29" s="19">
        <v>3</v>
      </c>
      <c r="O29" s="596"/>
      <c r="P29" s="596"/>
      <c r="Q29" s="596"/>
      <c r="V29" s="646"/>
      <c r="W29" s="614"/>
      <c r="X29" s="613"/>
      <c r="Y29" s="614"/>
      <c r="Z29" s="645"/>
    </row>
    <row r="30" spans="2:26">
      <c r="B30" s="87">
        <v>24</v>
      </c>
      <c r="C30" s="87" t="s">
        <v>444</v>
      </c>
      <c r="D30" s="87" t="s">
        <v>445</v>
      </c>
      <c r="E30" s="106">
        <v>52</v>
      </c>
      <c r="F30" s="87"/>
      <c r="G30" s="110" t="str">
        <f t="shared" si="0"/>
        <v/>
      </c>
      <c r="H30" s="111">
        <f t="shared" si="1"/>
        <v>0</v>
      </c>
      <c r="J30" s="19" t="s">
        <v>365</v>
      </c>
      <c r="K30" s="19" t="s">
        <v>366</v>
      </c>
      <c r="L30" s="100">
        <f t="shared" si="3"/>
        <v>100</v>
      </c>
      <c r="M30" s="19">
        <v>2</v>
      </c>
      <c r="V30" s="646" t="s">
        <v>1162</v>
      </c>
      <c r="W30" s="614" t="s">
        <v>1163</v>
      </c>
      <c r="X30" s="614" t="s">
        <v>1164</v>
      </c>
      <c r="Y30" s="614" t="s">
        <v>1165</v>
      </c>
      <c r="Z30" s="645" t="s">
        <v>1166</v>
      </c>
    </row>
    <row r="31" spans="2:26">
      <c r="B31" s="87">
        <v>25</v>
      </c>
      <c r="C31" s="87" t="s">
        <v>446</v>
      </c>
      <c r="D31" s="87" t="s">
        <v>447</v>
      </c>
      <c r="E31" s="106">
        <v>54.94</v>
      </c>
      <c r="F31" s="87"/>
      <c r="G31" s="110" t="str">
        <f t="shared" si="0"/>
        <v/>
      </c>
      <c r="H31" s="111">
        <f t="shared" si="1"/>
        <v>0</v>
      </c>
      <c r="J31" s="19" t="s">
        <v>367</v>
      </c>
      <c r="K31" s="19" t="s">
        <v>368</v>
      </c>
      <c r="L31" s="100">
        <f t="shared" si="3"/>
        <v>10</v>
      </c>
      <c r="M31" s="19">
        <v>1</v>
      </c>
      <c r="O31" s="613" t="s">
        <v>2327</v>
      </c>
      <c r="P31" s="613"/>
      <c r="Q31" s="613" t="s">
        <v>2344</v>
      </c>
      <c r="R31" s="613"/>
      <c r="S31" s="613"/>
      <c r="T31" s="613"/>
      <c r="V31" s="646"/>
      <c r="W31" s="614"/>
      <c r="X31" s="614"/>
      <c r="Y31" s="614"/>
      <c r="Z31" s="645"/>
    </row>
    <row r="32" spans="2:26">
      <c r="B32" s="87">
        <v>26</v>
      </c>
      <c r="C32" s="87" t="s">
        <v>448</v>
      </c>
      <c r="D32" s="87" t="s">
        <v>449</v>
      </c>
      <c r="E32" s="106">
        <v>55.85</v>
      </c>
      <c r="F32" s="87"/>
      <c r="G32" s="110" t="str">
        <f t="shared" si="0"/>
        <v/>
      </c>
      <c r="H32" s="111">
        <f t="shared" si="1"/>
        <v>0</v>
      </c>
      <c r="J32" s="19" t="s">
        <v>369</v>
      </c>
      <c r="K32" s="19" t="s">
        <v>370</v>
      </c>
      <c r="L32" s="100">
        <f t="shared" si="3"/>
        <v>0.1</v>
      </c>
      <c r="M32" s="19">
        <v>-1</v>
      </c>
      <c r="O32" s="613" t="s">
        <v>2338</v>
      </c>
      <c r="P32" s="613" t="s">
        <v>2339</v>
      </c>
      <c r="Q32" s="636" t="s">
        <v>2328</v>
      </c>
      <c r="R32" s="636"/>
      <c r="S32" s="636"/>
      <c r="T32" s="636"/>
      <c r="V32" s="646"/>
      <c r="W32" s="614"/>
      <c r="X32" s="614"/>
      <c r="Y32" s="614"/>
      <c r="Z32" s="645"/>
    </row>
    <row r="33" spans="2:26">
      <c r="B33" s="87">
        <v>27</v>
      </c>
      <c r="C33" s="87" t="s">
        <v>450</v>
      </c>
      <c r="D33" s="87" t="s">
        <v>451</v>
      </c>
      <c r="E33" s="106">
        <v>58.93</v>
      </c>
      <c r="F33" s="87"/>
      <c r="G33" s="110" t="str">
        <f t="shared" si="0"/>
        <v/>
      </c>
      <c r="H33" s="111">
        <f t="shared" si="1"/>
        <v>0</v>
      </c>
      <c r="J33" s="19" t="s">
        <v>371</v>
      </c>
      <c r="K33" s="19" t="s">
        <v>372</v>
      </c>
      <c r="L33" s="100">
        <f t="shared" si="3"/>
        <v>0.01</v>
      </c>
      <c r="M33" s="19">
        <v>-2</v>
      </c>
      <c r="O33" s="613"/>
      <c r="P33" s="613"/>
      <c r="Q33" s="636" t="s">
        <v>2329</v>
      </c>
      <c r="R33" s="636"/>
      <c r="S33" s="636"/>
      <c r="T33" s="636"/>
      <c r="V33" s="646"/>
      <c r="W33" s="614"/>
      <c r="X33" s="614"/>
      <c r="Y33" s="614"/>
      <c r="Z33" s="645"/>
    </row>
    <row r="34" spans="2:26">
      <c r="B34" s="87">
        <v>28</v>
      </c>
      <c r="C34" s="87" t="s">
        <v>452</v>
      </c>
      <c r="D34" s="87" t="s">
        <v>453</v>
      </c>
      <c r="E34" s="106">
        <v>58.69</v>
      </c>
      <c r="F34" s="87"/>
      <c r="G34" s="110" t="str">
        <f t="shared" si="0"/>
        <v/>
      </c>
      <c r="H34" s="111">
        <f t="shared" si="1"/>
        <v>0</v>
      </c>
      <c r="J34" s="19" t="s">
        <v>373</v>
      </c>
      <c r="K34" s="19" t="s">
        <v>2</v>
      </c>
      <c r="L34" s="100">
        <f t="shared" si="3"/>
        <v>1E-3</v>
      </c>
      <c r="M34" s="19">
        <v>-3</v>
      </c>
      <c r="O34" s="613"/>
      <c r="P34" s="613"/>
      <c r="Q34" s="636" t="s">
        <v>2330</v>
      </c>
      <c r="R34" s="636"/>
      <c r="S34" s="636"/>
      <c r="T34" s="636"/>
      <c r="V34" s="654" t="s">
        <v>1185</v>
      </c>
      <c r="W34" s="614" t="s">
        <v>1167</v>
      </c>
      <c r="X34" s="613" t="s">
        <v>1164</v>
      </c>
      <c r="Y34" s="614" t="s">
        <v>1183</v>
      </c>
      <c r="Z34" s="645" t="s">
        <v>1168</v>
      </c>
    </row>
    <row r="35" spans="2:26">
      <c r="B35" s="87">
        <v>29</v>
      </c>
      <c r="C35" s="87" t="s">
        <v>454</v>
      </c>
      <c r="D35" s="87" t="s">
        <v>455</v>
      </c>
      <c r="E35" s="106">
        <v>63.55</v>
      </c>
      <c r="F35" s="87"/>
      <c r="G35" s="110" t="str">
        <f t="shared" si="0"/>
        <v/>
      </c>
      <c r="H35" s="111">
        <f t="shared" si="1"/>
        <v>0</v>
      </c>
      <c r="J35" s="19" t="s">
        <v>374</v>
      </c>
      <c r="K35" s="19" t="s">
        <v>375</v>
      </c>
      <c r="L35" s="100">
        <f t="shared" si="3"/>
        <v>9.9999999999999995E-7</v>
      </c>
      <c r="M35" s="19">
        <v>-6</v>
      </c>
      <c r="O35" s="613" t="s">
        <v>2341</v>
      </c>
      <c r="P35" s="613" t="s">
        <v>2340</v>
      </c>
      <c r="Q35" s="636" t="s">
        <v>2331</v>
      </c>
      <c r="R35" s="636"/>
      <c r="S35" s="636"/>
      <c r="T35" s="636"/>
      <c r="V35" s="654"/>
      <c r="W35" s="614"/>
      <c r="X35" s="613"/>
      <c r="Y35" s="614"/>
      <c r="Z35" s="645"/>
    </row>
    <row r="36" spans="2:26">
      <c r="B36" s="87">
        <v>30</v>
      </c>
      <c r="C36" s="87" t="s">
        <v>456</v>
      </c>
      <c r="D36" s="87" t="s">
        <v>457</v>
      </c>
      <c r="E36" s="106">
        <v>65.38</v>
      </c>
      <c r="F36" s="87"/>
      <c r="G36" s="110" t="str">
        <f t="shared" si="0"/>
        <v/>
      </c>
      <c r="H36" s="111">
        <f t="shared" si="1"/>
        <v>0</v>
      </c>
      <c r="J36" s="19" t="s">
        <v>376</v>
      </c>
      <c r="K36" s="19" t="s">
        <v>377</v>
      </c>
      <c r="L36" s="100">
        <f t="shared" si="3"/>
        <v>1.0000000000000001E-9</v>
      </c>
      <c r="M36" s="19">
        <v>-9</v>
      </c>
      <c r="O36" s="613"/>
      <c r="P36" s="613"/>
      <c r="Q36" s="636" t="s">
        <v>2332</v>
      </c>
      <c r="R36" s="636"/>
      <c r="S36" s="636"/>
      <c r="T36" s="636"/>
      <c r="V36" s="654"/>
      <c r="W36" s="614"/>
      <c r="X36" s="613"/>
      <c r="Y36" s="614"/>
      <c r="Z36" s="645"/>
    </row>
    <row r="37" spans="2:26">
      <c r="B37" s="87">
        <v>31</v>
      </c>
      <c r="C37" s="87" t="s">
        <v>458</v>
      </c>
      <c r="D37" s="87" t="s">
        <v>459</v>
      </c>
      <c r="E37" s="106">
        <v>69.72</v>
      </c>
      <c r="F37" s="87"/>
      <c r="G37" s="110" t="str">
        <f t="shared" si="0"/>
        <v/>
      </c>
      <c r="H37" s="111">
        <f t="shared" si="1"/>
        <v>0</v>
      </c>
      <c r="J37" s="19" t="s">
        <v>378</v>
      </c>
      <c r="K37" s="19" t="s">
        <v>379</v>
      </c>
      <c r="L37" s="100">
        <f t="shared" si="3"/>
        <v>9.9999999999999998E-13</v>
      </c>
      <c r="M37" s="19">
        <v>-12</v>
      </c>
      <c r="O37" s="613"/>
      <c r="P37" s="613"/>
      <c r="Q37" s="636" t="s">
        <v>2333</v>
      </c>
      <c r="R37" s="636"/>
      <c r="S37" s="636"/>
      <c r="T37" s="636"/>
      <c r="V37" s="654"/>
      <c r="W37" s="614"/>
      <c r="X37" s="613"/>
      <c r="Y37" s="614"/>
      <c r="Z37" s="645"/>
    </row>
    <row r="38" spans="2:26">
      <c r="B38" s="87">
        <v>32</v>
      </c>
      <c r="C38" s="87" t="s">
        <v>460</v>
      </c>
      <c r="D38" s="87" t="s">
        <v>461</v>
      </c>
      <c r="E38" s="106">
        <v>72.63</v>
      </c>
      <c r="F38" s="87"/>
      <c r="G38" s="110" t="str">
        <f t="shared" si="0"/>
        <v/>
      </c>
      <c r="H38" s="111">
        <f t="shared" si="1"/>
        <v>0</v>
      </c>
      <c r="J38" s="19" t="s">
        <v>380</v>
      </c>
      <c r="K38" s="19" t="s">
        <v>381</v>
      </c>
      <c r="L38" s="100">
        <f t="shared" si="3"/>
        <v>1.0000000000000001E-15</v>
      </c>
      <c r="M38" s="19">
        <v>-15</v>
      </c>
      <c r="O38" s="613" t="s">
        <v>2342</v>
      </c>
      <c r="P38" s="613" t="s">
        <v>2343</v>
      </c>
      <c r="Q38" s="636" t="s">
        <v>2334</v>
      </c>
      <c r="R38" s="636"/>
      <c r="S38" s="636"/>
      <c r="T38" s="636"/>
      <c r="V38" s="648" t="s">
        <v>1169</v>
      </c>
      <c r="W38" s="614" t="s">
        <v>1170</v>
      </c>
      <c r="X38" s="614" t="s">
        <v>726</v>
      </c>
      <c r="Y38" s="614" t="s">
        <v>1171</v>
      </c>
      <c r="Z38" s="645" t="s">
        <v>1172</v>
      </c>
    </row>
    <row r="39" spans="2:26">
      <c r="B39" s="87">
        <v>33</v>
      </c>
      <c r="C39" s="87" t="s">
        <v>462</v>
      </c>
      <c r="D39" s="87" t="s">
        <v>463</v>
      </c>
      <c r="E39" s="106">
        <v>74.92</v>
      </c>
      <c r="F39" s="87"/>
      <c r="G39" s="110" t="str">
        <f t="shared" ref="G39:G70" si="4">IF(F39&gt;0,C39&amp;F39,"")&amp;G38</f>
        <v/>
      </c>
      <c r="H39" s="111">
        <f t="shared" si="1"/>
        <v>0</v>
      </c>
      <c r="J39" s="19" t="s">
        <v>382</v>
      </c>
      <c r="K39" s="19" t="s">
        <v>383</v>
      </c>
      <c r="L39" s="100">
        <f t="shared" si="3"/>
        <v>1.0000000000000001E-18</v>
      </c>
      <c r="M39" s="19">
        <v>-18</v>
      </c>
      <c r="O39" s="613"/>
      <c r="P39" s="613"/>
      <c r="Q39" s="636" t="s">
        <v>2335</v>
      </c>
      <c r="R39" s="636"/>
      <c r="S39" s="636"/>
      <c r="T39" s="636"/>
      <c r="V39" s="648"/>
      <c r="W39" s="614"/>
      <c r="X39" s="614"/>
      <c r="Y39" s="614"/>
      <c r="Z39" s="645"/>
    </row>
    <row r="40" spans="2:26">
      <c r="B40" s="87">
        <v>34</v>
      </c>
      <c r="C40" s="87" t="s">
        <v>464</v>
      </c>
      <c r="D40" s="87" t="s">
        <v>465</v>
      </c>
      <c r="E40" s="106">
        <v>78.97</v>
      </c>
      <c r="F40" s="87"/>
      <c r="G40" s="110" t="str">
        <f t="shared" si="4"/>
        <v/>
      </c>
      <c r="H40" s="111">
        <f t="shared" ref="H40:H71" si="5">F40*E40+H39</f>
        <v>0</v>
      </c>
      <c r="J40" s="19" t="s">
        <v>384</v>
      </c>
      <c r="K40" s="19" t="s">
        <v>385</v>
      </c>
      <c r="L40" s="100">
        <f t="shared" si="3"/>
        <v>9.9999999999999991E-22</v>
      </c>
      <c r="M40" s="19">
        <v>-21</v>
      </c>
      <c r="O40" s="613"/>
      <c r="P40" s="613"/>
      <c r="Q40" s="636" t="s">
        <v>2336</v>
      </c>
      <c r="R40" s="636"/>
      <c r="S40" s="636"/>
      <c r="T40" s="636"/>
      <c r="V40" s="648"/>
      <c r="W40" s="614"/>
      <c r="X40" s="614"/>
      <c r="Y40" s="614"/>
      <c r="Z40" s="645"/>
    </row>
    <row r="41" spans="2:26">
      <c r="B41" s="87">
        <v>35</v>
      </c>
      <c r="C41" s="87" t="s">
        <v>466</v>
      </c>
      <c r="D41" s="87" t="s">
        <v>467</v>
      </c>
      <c r="E41" s="106">
        <v>79.900000000000006</v>
      </c>
      <c r="F41" s="87"/>
      <c r="G41" s="110" t="str">
        <f t="shared" si="4"/>
        <v/>
      </c>
      <c r="H41" s="111">
        <f t="shared" si="5"/>
        <v>0</v>
      </c>
      <c r="J41" s="19" t="s">
        <v>386</v>
      </c>
      <c r="K41" s="19" t="s">
        <v>387</v>
      </c>
      <c r="L41" s="100">
        <f t="shared" si="3"/>
        <v>1.0000000000000001E-24</v>
      </c>
      <c r="M41" s="19">
        <v>-24</v>
      </c>
      <c r="O41" s="613"/>
      <c r="P41" s="613"/>
      <c r="Q41" s="636" t="s">
        <v>2337</v>
      </c>
      <c r="R41" s="636"/>
      <c r="S41" s="636"/>
      <c r="T41" s="636"/>
      <c r="V41" s="648"/>
      <c r="W41" s="614"/>
      <c r="X41" s="614"/>
      <c r="Y41" s="614"/>
      <c r="Z41" s="645"/>
    </row>
    <row r="42" spans="2:26">
      <c r="B42" s="87">
        <v>36</v>
      </c>
      <c r="C42" s="87" t="s">
        <v>468</v>
      </c>
      <c r="D42" s="87" t="s">
        <v>469</v>
      </c>
      <c r="E42" s="106">
        <v>83.8</v>
      </c>
      <c r="F42" s="87"/>
      <c r="G42" s="110" t="str">
        <f t="shared" si="4"/>
        <v/>
      </c>
      <c r="H42" s="111">
        <f t="shared" si="5"/>
        <v>0</v>
      </c>
      <c r="V42" s="648" t="s">
        <v>1173</v>
      </c>
      <c r="W42" s="614" t="s">
        <v>1174</v>
      </c>
      <c r="X42" s="614" t="s">
        <v>726</v>
      </c>
      <c r="Y42" s="614" t="s">
        <v>1184</v>
      </c>
      <c r="Z42" s="645" t="s">
        <v>1172</v>
      </c>
    </row>
    <row r="43" spans="2:26">
      <c r="B43" s="87">
        <v>37</v>
      </c>
      <c r="C43" s="87" t="s">
        <v>470</v>
      </c>
      <c r="D43" s="87" t="s">
        <v>471</v>
      </c>
      <c r="E43" s="106">
        <v>85.47</v>
      </c>
      <c r="F43" s="87"/>
      <c r="G43" s="110" t="str">
        <f t="shared" si="4"/>
        <v/>
      </c>
      <c r="H43" s="111">
        <f t="shared" si="5"/>
        <v>0</v>
      </c>
      <c r="J43" s="155"/>
      <c r="V43" s="648"/>
      <c r="W43" s="614"/>
      <c r="X43" s="614"/>
      <c r="Y43" s="614"/>
      <c r="Z43" s="645"/>
    </row>
    <row r="44" spans="2:26">
      <c r="B44" s="87">
        <v>38</v>
      </c>
      <c r="C44" s="87" t="s">
        <v>472</v>
      </c>
      <c r="D44" s="87" t="s">
        <v>473</v>
      </c>
      <c r="E44" s="106">
        <v>87.62</v>
      </c>
      <c r="F44" s="87"/>
      <c r="G44" s="110" t="str">
        <f t="shared" si="4"/>
        <v/>
      </c>
      <c r="H44" s="111">
        <f t="shared" si="5"/>
        <v>0</v>
      </c>
      <c r="V44" s="648"/>
      <c r="W44" s="614"/>
      <c r="X44" s="614"/>
      <c r="Y44" s="614"/>
      <c r="Z44" s="645"/>
    </row>
    <row r="45" spans="2:26" ht="14.65" thickBot="1">
      <c r="B45" s="87">
        <v>39</v>
      </c>
      <c r="C45" s="87" t="s">
        <v>350</v>
      </c>
      <c r="D45" s="87" t="s">
        <v>474</v>
      </c>
      <c r="E45" s="106">
        <v>88.91</v>
      </c>
      <c r="F45" s="87"/>
      <c r="G45" s="110" t="str">
        <f t="shared" si="4"/>
        <v/>
      </c>
      <c r="H45" s="111">
        <f t="shared" si="5"/>
        <v>0</v>
      </c>
      <c r="J45" s="616" t="s">
        <v>1239</v>
      </c>
      <c r="K45" s="616"/>
      <c r="V45" s="653"/>
      <c r="W45" s="652"/>
      <c r="X45" s="652"/>
      <c r="Y45" s="652"/>
      <c r="Z45" s="655"/>
    </row>
    <row r="46" spans="2:26" ht="14.65" thickTop="1">
      <c r="B46" s="87">
        <v>40</v>
      </c>
      <c r="C46" s="87" t="s">
        <v>475</v>
      </c>
      <c r="D46" s="87" t="s">
        <v>476</v>
      </c>
      <c r="E46" s="106">
        <v>91.22</v>
      </c>
      <c r="F46" s="87"/>
      <c r="G46" s="110" t="str">
        <f t="shared" si="4"/>
        <v/>
      </c>
      <c r="H46" s="111">
        <f t="shared" si="5"/>
        <v>0</v>
      </c>
      <c r="J46" s="616"/>
      <c r="K46" s="616"/>
    </row>
    <row r="47" spans="2:26">
      <c r="B47" s="87">
        <v>41</v>
      </c>
      <c r="C47" s="87" t="s">
        <v>477</v>
      </c>
      <c r="D47" s="87" t="s">
        <v>478</v>
      </c>
      <c r="E47" s="106">
        <v>92.91</v>
      </c>
      <c r="F47" s="87"/>
      <c r="G47" s="110" t="str">
        <f t="shared" si="4"/>
        <v/>
      </c>
      <c r="H47" s="111">
        <f t="shared" si="5"/>
        <v>0</v>
      </c>
    </row>
    <row r="48" spans="2:26">
      <c r="B48" s="87">
        <v>42</v>
      </c>
      <c r="C48" s="87" t="s">
        <v>479</v>
      </c>
      <c r="D48" s="87" t="s">
        <v>480</v>
      </c>
      <c r="E48" s="106">
        <v>95.95</v>
      </c>
      <c r="F48" s="87"/>
      <c r="G48" s="110" t="str">
        <f t="shared" si="4"/>
        <v/>
      </c>
      <c r="H48" s="111">
        <f t="shared" si="5"/>
        <v>0</v>
      </c>
      <c r="J48" s="656" t="s">
        <v>1211</v>
      </c>
      <c r="K48" s="656"/>
      <c r="L48" s="656" t="s">
        <v>1212</v>
      </c>
      <c r="M48" s="656"/>
      <c r="N48" s="656"/>
      <c r="O48" s="656" t="s">
        <v>1213</v>
      </c>
      <c r="P48" s="656"/>
      <c r="Q48" s="243" t="s">
        <v>1214</v>
      </c>
    </row>
    <row r="49" spans="2:17">
      <c r="B49" s="87">
        <v>43</v>
      </c>
      <c r="C49" s="87" t="s">
        <v>481</v>
      </c>
      <c r="D49" s="87" t="s">
        <v>482</v>
      </c>
      <c r="E49" s="106">
        <v>98</v>
      </c>
      <c r="F49" s="87"/>
      <c r="G49" s="110" t="str">
        <f t="shared" si="4"/>
        <v/>
      </c>
      <c r="H49" s="111">
        <f t="shared" si="5"/>
        <v>0</v>
      </c>
      <c r="J49" s="244" t="s">
        <v>1215</v>
      </c>
      <c r="K49" s="244"/>
      <c r="L49" s="613" t="s">
        <v>1216</v>
      </c>
      <c r="M49" s="613"/>
      <c r="N49" s="613"/>
      <c r="O49" s="613" t="s">
        <v>1217</v>
      </c>
      <c r="P49" s="613"/>
      <c r="Q49" s="244" t="s">
        <v>1218</v>
      </c>
    </row>
    <row r="50" spans="2:17">
      <c r="B50" s="87">
        <v>44</v>
      </c>
      <c r="C50" s="87" t="s">
        <v>483</v>
      </c>
      <c r="D50" s="87" t="s">
        <v>484</v>
      </c>
      <c r="E50" s="106">
        <v>101.1</v>
      </c>
      <c r="F50" s="87"/>
      <c r="G50" s="110" t="str">
        <f t="shared" si="4"/>
        <v/>
      </c>
      <c r="H50" s="111">
        <f t="shared" si="5"/>
        <v>0</v>
      </c>
      <c r="J50" s="636" t="s">
        <v>1219</v>
      </c>
      <c r="K50" s="636"/>
      <c r="L50" s="613" t="s">
        <v>1220</v>
      </c>
      <c r="M50" s="613"/>
      <c r="N50" s="613"/>
      <c r="O50" s="613" t="s">
        <v>1224</v>
      </c>
      <c r="P50" s="613"/>
      <c r="Q50" s="244" t="s">
        <v>1225</v>
      </c>
    </row>
    <row r="51" spans="2:17">
      <c r="B51" s="87">
        <v>45</v>
      </c>
      <c r="C51" s="87" t="s">
        <v>485</v>
      </c>
      <c r="D51" s="87" t="s">
        <v>486</v>
      </c>
      <c r="E51" s="106">
        <v>102.9</v>
      </c>
      <c r="F51" s="87"/>
      <c r="G51" s="110" t="str">
        <f t="shared" si="4"/>
        <v/>
      </c>
      <c r="H51" s="111">
        <f t="shared" si="5"/>
        <v>0</v>
      </c>
      <c r="J51" s="636"/>
      <c r="K51" s="636"/>
      <c r="L51" s="613" t="s">
        <v>1221</v>
      </c>
      <c r="M51" s="613"/>
      <c r="N51" s="613"/>
      <c r="O51" s="613"/>
      <c r="P51" s="613"/>
      <c r="Q51" s="244"/>
    </row>
    <row r="52" spans="2:17">
      <c r="B52" s="87">
        <v>46</v>
      </c>
      <c r="C52" s="87" t="s">
        <v>487</v>
      </c>
      <c r="D52" s="87" t="s">
        <v>488</v>
      </c>
      <c r="E52" s="106">
        <v>106.4</v>
      </c>
      <c r="F52" s="87"/>
      <c r="G52" s="110" t="str">
        <f t="shared" si="4"/>
        <v/>
      </c>
      <c r="H52" s="111">
        <f t="shared" si="5"/>
        <v>0</v>
      </c>
      <c r="J52" s="636"/>
      <c r="K52" s="636"/>
      <c r="L52" s="613" t="s">
        <v>1222</v>
      </c>
      <c r="M52" s="613"/>
      <c r="N52" s="613"/>
      <c r="O52" s="613"/>
      <c r="P52" s="613"/>
      <c r="Q52" s="244"/>
    </row>
    <row r="53" spans="2:17">
      <c r="B53" s="87">
        <v>47</v>
      </c>
      <c r="C53" s="87" t="s">
        <v>489</v>
      </c>
      <c r="D53" s="87" t="s">
        <v>490</v>
      </c>
      <c r="E53" s="106">
        <v>107.9</v>
      </c>
      <c r="F53" s="87"/>
      <c r="G53" s="110" t="str">
        <f t="shared" si="4"/>
        <v/>
      </c>
      <c r="H53" s="111">
        <f t="shared" si="5"/>
        <v>0</v>
      </c>
      <c r="J53" s="636"/>
      <c r="K53" s="636"/>
      <c r="L53" s="613" t="s">
        <v>1223</v>
      </c>
      <c r="M53" s="613"/>
      <c r="N53" s="613"/>
      <c r="O53" s="613"/>
      <c r="P53" s="613"/>
      <c r="Q53" s="244"/>
    </row>
    <row r="54" spans="2:17">
      <c r="B54" s="87">
        <v>48</v>
      </c>
      <c r="C54" s="87" t="s">
        <v>491</v>
      </c>
      <c r="D54" s="87" t="s">
        <v>492</v>
      </c>
      <c r="E54" s="106">
        <v>112.4</v>
      </c>
      <c r="F54" s="87"/>
      <c r="G54" s="110" t="str">
        <f t="shared" si="4"/>
        <v/>
      </c>
      <c r="H54" s="111">
        <f t="shared" si="5"/>
        <v>0</v>
      </c>
      <c r="J54" s="244" t="s">
        <v>1226</v>
      </c>
      <c r="K54" s="244"/>
      <c r="L54" s="613" t="s">
        <v>1227</v>
      </c>
      <c r="M54" s="613"/>
      <c r="N54" s="613"/>
      <c r="O54" s="613" t="s">
        <v>1228</v>
      </c>
      <c r="P54" s="613"/>
      <c r="Q54" s="244" t="s">
        <v>1229</v>
      </c>
    </row>
    <row r="55" spans="2:17">
      <c r="B55" s="87">
        <v>49</v>
      </c>
      <c r="C55" s="87" t="s">
        <v>493</v>
      </c>
      <c r="D55" s="87" t="s">
        <v>494</v>
      </c>
      <c r="E55" s="106">
        <v>114.8</v>
      </c>
      <c r="F55" s="87"/>
      <c r="G55" s="110" t="str">
        <f t="shared" si="4"/>
        <v/>
      </c>
      <c r="H55" s="111">
        <f t="shared" si="5"/>
        <v>0</v>
      </c>
      <c r="J55" s="244" t="s">
        <v>1230</v>
      </c>
      <c r="K55" s="244"/>
      <c r="L55" s="613" t="s">
        <v>1227</v>
      </c>
      <c r="M55" s="613"/>
      <c r="N55" s="613"/>
      <c r="O55" s="613" t="s">
        <v>1231</v>
      </c>
      <c r="P55" s="613"/>
      <c r="Q55" s="244" t="s">
        <v>1229</v>
      </c>
    </row>
    <row r="56" spans="2:17">
      <c r="B56" s="87">
        <v>50</v>
      </c>
      <c r="C56" s="87" t="s">
        <v>495</v>
      </c>
      <c r="D56" s="87" t="s">
        <v>496</v>
      </c>
      <c r="E56" s="106">
        <v>118.7</v>
      </c>
      <c r="F56" s="87"/>
      <c r="G56" s="110" t="str">
        <f t="shared" si="4"/>
        <v/>
      </c>
      <c r="H56" s="111">
        <f t="shared" si="5"/>
        <v>0</v>
      </c>
      <c r="J56" s="614" t="s">
        <v>1238</v>
      </c>
      <c r="K56" s="613"/>
      <c r="L56" s="613" t="s">
        <v>1232</v>
      </c>
      <c r="M56" s="613"/>
      <c r="N56" s="613"/>
      <c r="O56" s="613" t="s">
        <v>1227</v>
      </c>
      <c r="P56" s="613"/>
      <c r="Q56" s="613" t="s">
        <v>1227</v>
      </c>
    </row>
    <row r="57" spans="2:17">
      <c r="B57" s="87">
        <v>51</v>
      </c>
      <c r="C57" s="87" t="s">
        <v>497</v>
      </c>
      <c r="D57" s="87" t="s">
        <v>498</v>
      </c>
      <c r="E57" s="106">
        <v>121.8</v>
      </c>
      <c r="F57" s="87"/>
      <c r="G57" s="110" t="str">
        <f t="shared" si="4"/>
        <v/>
      </c>
      <c r="H57" s="111">
        <f t="shared" si="5"/>
        <v>0</v>
      </c>
      <c r="J57" s="613"/>
      <c r="K57" s="613"/>
      <c r="L57" s="613"/>
      <c r="M57" s="613"/>
      <c r="N57" s="613"/>
      <c r="O57" s="613"/>
      <c r="P57" s="613"/>
      <c r="Q57" s="613"/>
    </row>
    <row r="58" spans="2:17">
      <c r="B58" s="87">
        <v>52</v>
      </c>
      <c r="C58" s="87" t="s">
        <v>499</v>
      </c>
      <c r="D58" s="87" t="s">
        <v>500</v>
      </c>
      <c r="E58" s="106">
        <v>127.6</v>
      </c>
      <c r="F58" s="87"/>
      <c r="G58" s="110" t="str">
        <f t="shared" si="4"/>
        <v/>
      </c>
      <c r="H58" s="111">
        <f t="shared" si="5"/>
        <v>0</v>
      </c>
      <c r="J58" s="244" t="s">
        <v>1233</v>
      </c>
      <c r="K58" s="244"/>
      <c r="L58" s="613" t="s">
        <v>1234</v>
      </c>
      <c r="M58" s="613"/>
      <c r="N58" s="613"/>
      <c r="O58" s="613" t="s">
        <v>1235</v>
      </c>
      <c r="P58" s="613"/>
      <c r="Q58" s="244" t="s">
        <v>1227</v>
      </c>
    </row>
    <row r="59" spans="2:17">
      <c r="B59" s="87">
        <v>53</v>
      </c>
      <c r="C59" s="87" t="s">
        <v>501</v>
      </c>
      <c r="D59" s="87" t="s">
        <v>502</v>
      </c>
      <c r="E59" s="106">
        <v>126.9</v>
      </c>
      <c r="F59" s="87"/>
      <c r="G59" s="110" t="str">
        <f t="shared" si="4"/>
        <v/>
      </c>
      <c r="H59" s="111">
        <f t="shared" si="5"/>
        <v>0</v>
      </c>
      <c r="J59" s="244" t="s">
        <v>1236</v>
      </c>
      <c r="K59" s="244"/>
      <c r="L59" s="613" t="s">
        <v>1227</v>
      </c>
      <c r="M59" s="613"/>
      <c r="N59" s="613"/>
      <c r="O59" s="613" t="s">
        <v>1227</v>
      </c>
      <c r="P59" s="613"/>
      <c r="Q59" s="244" t="s">
        <v>1237</v>
      </c>
    </row>
    <row r="60" spans="2:17">
      <c r="B60" s="87">
        <v>54</v>
      </c>
      <c r="C60" s="87" t="s">
        <v>503</v>
      </c>
      <c r="D60" s="87" t="s">
        <v>504</v>
      </c>
      <c r="E60" s="106">
        <v>131.30000000000001</v>
      </c>
      <c r="F60" s="87"/>
      <c r="G60" s="110" t="str">
        <f t="shared" si="4"/>
        <v/>
      </c>
      <c r="H60" s="111">
        <f t="shared" si="5"/>
        <v>0</v>
      </c>
    </row>
    <row r="61" spans="2:17" ht="14.65" thickBot="1">
      <c r="B61" s="87">
        <v>55</v>
      </c>
      <c r="C61" s="87" t="s">
        <v>505</v>
      </c>
      <c r="D61" s="87" t="s">
        <v>506</v>
      </c>
      <c r="E61" s="106">
        <v>132.9</v>
      </c>
      <c r="F61" s="87"/>
      <c r="G61" s="110" t="str">
        <f t="shared" si="4"/>
        <v/>
      </c>
      <c r="H61" s="111">
        <f t="shared" si="5"/>
        <v>0</v>
      </c>
    </row>
    <row r="62" spans="2:17" ht="14.65" thickTop="1">
      <c r="B62" s="87">
        <v>56</v>
      </c>
      <c r="C62" s="87" t="s">
        <v>507</v>
      </c>
      <c r="D62" s="87" t="s">
        <v>508</v>
      </c>
      <c r="E62" s="106">
        <v>137.30000000000001</v>
      </c>
      <c r="F62" s="87"/>
      <c r="G62" s="110" t="str">
        <f t="shared" si="4"/>
        <v/>
      </c>
      <c r="H62" s="111">
        <f t="shared" si="5"/>
        <v>0</v>
      </c>
      <c r="J62" s="633" t="s">
        <v>1960</v>
      </c>
      <c r="K62" s="637" t="s">
        <v>1542</v>
      </c>
      <c r="L62" s="637"/>
      <c r="M62" s="629" t="s">
        <v>2011</v>
      </c>
      <c r="N62" s="629" t="s">
        <v>2012</v>
      </c>
      <c r="O62" s="629"/>
      <c r="P62" s="630" t="s">
        <v>2013</v>
      </c>
    </row>
    <row r="63" spans="2:17">
      <c r="B63" s="87">
        <v>57</v>
      </c>
      <c r="C63" s="87" t="s">
        <v>509</v>
      </c>
      <c r="D63" s="87" t="s">
        <v>510</v>
      </c>
      <c r="E63" s="106">
        <v>138.9</v>
      </c>
      <c r="F63" s="87"/>
      <c r="G63" s="110" t="str">
        <f t="shared" si="4"/>
        <v/>
      </c>
      <c r="H63" s="111">
        <f t="shared" si="5"/>
        <v>0</v>
      </c>
      <c r="J63" s="632"/>
      <c r="K63" s="613"/>
      <c r="L63" s="613"/>
      <c r="M63" s="614"/>
      <c r="N63" s="614"/>
      <c r="O63" s="614"/>
      <c r="P63" s="631"/>
    </row>
    <row r="64" spans="2:17">
      <c r="B64" s="87">
        <v>58</v>
      </c>
      <c r="C64" s="87" t="s">
        <v>511</v>
      </c>
      <c r="D64" s="87" t="s">
        <v>512</v>
      </c>
      <c r="E64" s="106">
        <v>140.1</v>
      </c>
      <c r="F64" s="87"/>
      <c r="G64" s="110" t="str">
        <f t="shared" si="4"/>
        <v/>
      </c>
      <c r="H64" s="111">
        <f t="shared" si="5"/>
        <v>0</v>
      </c>
      <c r="J64" s="632"/>
      <c r="K64" s="613"/>
      <c r="L64" s="613"/>
      <c r="M64" s="614"/>
      <c r="N64" s="614"/>
      <c r="O64" s="614"/>
      <c r="P64" s="631"/>
    </row>
    <row r="65" spans="2:16">
      <c r="B65" s="87">
        <v>59</v>
      </c>
      <c r="C65" s="87" t="s">
        <v>513</v>
      </c>
      <c r="D65" s="87" t="s">
        <v>514</v>
      </c>
      <c r="E65" s="106">
        <v>140.9</v>
      </c>
      <c r="F65" s="87"/>
      <c r="G65" s="110" t="str">
        <f t="shared" si="4"/>
        <v/>
      </c>
      <c r="H65" s="111">
        <f t="shared" si="5"/>
        <v>0</v>
      </c>
      <c r="J65" s="322" t="s">
        <v>1961</v>
      </c>
      <c r="K65" s="613" t="s">
        <v>1963</v>
      </c>
      <c r="L65" s="613"/>
      <c r="M65" s="613" t="s">
        <v>1964</v>
      </c>
      <c r="N65" s="613" t="s">
        <v>1965</v>
      </c>
      <c r="O65" s="613"/>
      <c r="P65" s="628">
        <v>1</v>
      </c>
    </row>
    <row r="66" spans="2:16">
      <c r="B66" s="87">
        <v>60</v>
      </c>
      <c r="C66" s="87" t="s">
        <v>515</v>
      </c>
      <c r="D66" s="87" t="s">
        <v>516</v>
      </c>
      <c r="E66" s="106">
        <v>144.19999999999999</v>
      </c>
      <c r="F66" s="87"/>
      <c r="G66" s="110" t="str">
        <f t="shared" si="4"/>
        <v/>
      </c>
      <c r="H66" s="111">
        <f t="shared" si="5"/>
        <v>0</v>
      </c>
      <c r="J66" s="322" t="s">
        <v>1962</v>
      </c>
      <c r="K66" s="613"/>
      <c r="L66" s="613"/>
      <c r="M66" s="613"/>
      <c r="N66" s="613"/>
      <c r="O66" s="613"/>
      <c r="P66" s="628"/>
    </row>
    <row r="67" spans="2:16">
      <c r="B67" s="87">
        <v>61</v>
      </c>
      <c r="C67" s="87" t="s">
        <v>517</v>
      </c>
      <c r="D67" s="87" t="s">
        <v>518</v>
      </c>
      <c r="E67" s="106">
        <v>145</v>
      </c>
      <c r="F67" s="87"/>
      <c r="G67" s="110" t="str">
        <f t="shared" si="4"/>
        <v/>
      </c>
      <c r="H67" s="111">
        <f t="shared" si="5"/>
        <v>0</v>
      </c>
      <c r="J67" s="322" t="s">
        <v>1961</v>
      </c>
      <c r="K67" s="613" t="s">
        <v>1967</v>
      </c>
      <c r="L67" s="613"/>
      <c r="M67" s="614" t="s">
        <v>1968</v>
      </c>
      <c r="N67" s="613" t="s">
        <v>1969</v>
      </c>
      <c r="O67" s="613"/>
      <c r="P67" s="628">
        <v>0.5</v>
      </c>
    </row>
    <row r="68" spans="2:16">
      <c r="B68" s="87">
        <v>62</v>
      </c>
      <c r="C68" s="87" t="s">
        <v>519</v>
      </c>
      <c r="D68" s="87" t="s">
        <v>520</v>
      </c>
      <c r="E68" s="106">
        <v>150.4</v>
      </c>
      <c r="F68" s="87"/>
      <c r="G68" s="110" t="str">
        <f t="shared" si="4"/>
        <v/>
      </c>
      <c r="H68" s="111">
        <f t="shared" si="5"/>
        <v>0</v>
      </c>
      <c r="J68" s="322" t="s">
        <v>1966</v>
      </c>
      <c r="K68" s="613"/>
      <c r="L68" s="613"/>
      <c r="M68" s="614"/>
      <c r="N68" s="613"/>
      <c r="O68" s="613"/>
      <c r="P68" s="628"/>
    </row>
    <row r="69" spans="2:16">
      <c r="B69" s="87">
        <v>63</v>
      </c>
      <c r="C69" s="87" t="s">
        <v>521</v>
      </c>
      <c r="D69" s="87" t="s">
        <v>522</v>
      </c>
      <c r="E69" s="106">
        <v>152</v>
      </c>
      <c r="F69" s="87"/>
      <c r="G69" s="110" t="str">
        <f t="shared" si="4"/>
        <v/>
      </c>
      <c r="H69" s="111">
        <f t="shared" si="5"/>
        <v>0</v>
      </c>
      <c r="J69" s="322" t="s">
        <v>1970</v>
      </c>
      <c r="K69" s="613" t="s">
        <v>1971</v>
      </c>
      <c r="L69" s="613"/>
      <c r="M69" s="244">
        <v>2.2000000000000002</v>
      </c>
      <c r="N69" s="613" t="s">
        <v>1972</v>
      </c>
      <c r="O69" s="613"/>
      <c r="P69" s="382" t="s">
        <v>1973</v>
      </c>
    </row>
    <row r="70" spans="2:16">
      <c r="B70" s="87">
        <v>64</v>
      </c>
      <c r="C70" s="87" t="s">
        <v>523</v>
      </c>
      <c r="D70" s="87" t="s">
        <v>524</v>
      </c>
      <c r="E70" s="106">
        <v>157.30000000000001</v>
      </c>
      <c r="F70" s="87"/>
      <c r="G70" s="110" t="str">
        <f t="shared" si="4"/>
        <v/>
      </c>
      <c r="H70" s="111">
        <f t="shared" si="5"/>
        <v>0</v>
      </c>
      <c r="J70" s="632" t="s">
        <v>1970</v>
      </c>
      <c r="K70" s="614" t="s">
        <v>2007</v>
      </c>
      <c r="L70" s="614"/>
      <c r="M70" s="613">
        <v>3.3</v>
      </c>
      <c r="N70" s="613" t="s">
        <v>1974</v>
      </c>
      <c r="O70" s="613"/>
      <c r="P70" s="628" t="s">
        <v>1975</v>
      </c>
    </row>
    <row r="71" spans="2:16">
      <c r="B71" s="87">
        <v>65</v>
      </c>
      <c r="C71" s="87" t="s">
        <v>525</v>
      </c>
      <c r="D71" s="87" t="s">
        <v>526</v>
      </c>
      <c r="E71" s="106">
        <v>158.9</v>
      </c>
      <c r="F71" s="87"/>
      <c r="G71" s="110" t="str">
        <f>IF(F71&gt;0,C71&amp;F71,"")&amp;G70</f>
        <v/>
      </c>
      <c r="H71" s="111">
        <f t="shared" si="5"/>
        <v>0</v>
      </c>
      <c r="J71" s="632"/>
      <c r="K71" s="614"/>
      <c r="L71" s="614"/>
      <c r="M71" s="613"/>
      <c r="N71" s="613"/>
      <c r="O71" s="613"/>
      <c r="P71" s="628"/>
    </row>
    <row r="72" spans="2:16">
      <c r="B72" s="87">
        <v>66</v>
      </c>
      <c r="C72" s="87" t="s">
        <v>527</v>
      </c>
      <c r="D72" s="87" t="s">
        <v>528</v>
      </c>
      <c r="E72" s="106">
        <v>162.5</v>
      </c>
      <c r="F72" s="87"/>
      <c r="G72" s="110" t="str">
        <f t="shared" ref="G72:G124" si="6">IF(F72&gt;0,C72&amp;F72,"")&amp;G71</f>
        <v/>
      </c>
      <c r="H72" s="111">
        <f t="shared" ref="H72:H124" si="7">F72*E72+H71</f>
        <v>0</v>
      </c>
      <c r="J72" s="322" t="s">
        <v>1970</v>
      </c>
      <c r="K72" s="613" t="s">
        <v>1976</v>
      </c>
      <c r="L72" s="613"/>
      <c r="M72" s="244">
        <v>3</v>
      </c>
      <c r="N72" s="613" t="s">
        <v>1977</v>
      </c>
      <c r="O72" s="613"/>
      <c r="P72" s="382">
        <v>1.2</v>
      </c>
    </row>
    <row r="73" spans="2:16">
      <c r="B73" s="87">
        <v>67</v>
      </c>
      <c r="C73" s="87" t="s">
        <v>529</v>
      </c>
      <c r="D73" s="87" t="s">
        <v>530</v>
      </c>
      <c r="E73" s="106">
        <v>164.9</v>
      </c>
      <c r="F73" s="87"/>
      <c r="G73" s="110" t="str">
        <f t="shared" si="6"/>
        <v/>
      </c>
      <c r="H73" s="111">
        <f t="shared" si="7"/>
        <v>0</v>
      </c>
      <c r="J73" s="322" t="s">
        <v>1970</v>
      </c>
      <c r="K73" s="613" t="s">
        <v>1978</v>
      </c>
      <c r="L73" s="613"/>
      <c r="M73" s="244">
        <v>3</v>
      </c>
      <c r="N73" s="613" t="s">
        <v>1979</v>
      </c>
      <c r="O73" s="613"/>
      <c r="P73" s="382" t="s">
        <v>1980</v>
      </c>
    </row>
    <row r="74" spans="2:16">
      <c r="B74" s="87">
        <v>68</v>
      </c>
      <c r="C74" s="87" t="s">
        <v>531</v>
      </c>
      <c r="D74" s="87" t="s">
        <v>532</v>
      </c>
      <c r="E74" s="106">
        <v>167.3</v>
      </c>
      <c r="F74" s="87"/>
      <c r="G74" s="110" t="str">
        <f t="shared" si="6"/>
        <v/>
      </c>
      <c r="H74" s="111">
        <f t="shared" si="7"/>
        <v>0</v>
      </c>
      <c r="J74" s="322" t="s">
        <v>1970</v>
      </c>
      <c r="K74" s="613" t="s">
        <v>1981</v>
      </c>
      <c r="L74" s="613"/>
      <c r="M74" s="244">
        <v>2</v>
      </c>
      <c r="N74" s="613" t="s">
        <v>1982</v>
      </c>
      <c r="O74" s="613"/>
      <c r="P74" s="382">
        <v>5.5</v>
      </c>
    </row>
    <row r="75" spans="2:16">
      <c r="B75" s="87">
        <v>69</v>
      </c>
      <c r="C75" s="87" t="s">
        <v>533</v>
      </c>
      <c r="D75" s="87" t="s">
        <v>534</v>
      </c>
      <c r="E75" s="106">
        <v>168.9</v>
      </c>
      <c r="F75" s="87"/>
      <c r="G75" s="110" t="str">
        <f t="shared" si="6"/>
        <v/>
      </c>
      <c r="H75" s="111">
        <f t="shared" si="7"/>
        <v>0</v>
      </c>
      <c r="J75" s="322" t="s">
        <v>1983</v>
      </c>
      <c r="K75" s="613" t="s">
        <v>1984</v>
      </c>
      <c r="L75" s="613"/>
      <c r="M75" s="244" t="s">
        <v>1985</v>
      </c>
      <c r="N75" s="613">
        <v>60</v>
      </c>
      <c r="O75" s="613"/>
      <c r="P75" s="382" t="s">
        <v>1986</v>
      </c>
    </row>
    <row r="76" spans="2:16">
      <c r="B76" s="87">
        <v>70</v>
      </c>
      <c r="C76" s="87" t="s">
        <v>535</v>
      </c>
      <c r="D76" s="87" t="s">
        <v>536</v>
      </c>
      <c r="E76" s="106">
        <v>173.1</v>
      </c>
      <c r="F76" s="87"/>
      <c r="G76" s="110" t="str">
        <f t="shared" si="6"/>
        <v/>
      </c>
      <c r="H76" s="111">
        <f t="shared" si="7"/>
        <v>0</v>
      </c>
      <c r="J76" s="632" t="s">
        <v>1987</v>
      </c>
      <c r="K76" s="614" t="s">
        <v>2008</v>
      </c>
      <c r="L76" s="614"/>
      <c r="M76" s="613" t="s">
        <v>2014</v>
      </c>
      <c r="N76" s="613">
        <v>710</v>
      </c>
      <c r="O76" s="613"/>
      <c r="P76" s="382" t="s">
        <v>1988</v>
      </c>
    </row>
    <row r="77" spans="2:16">
      <c r="B77" s="87">
        <v>71</v>
      </c>
      <c r="C77" s="87" t="s">
        <v>537</v>
      </c>
      <c r="D77" s="87" t="s">
        <v>538</v>
      </c>
      <c r="E77" s="106">
        <v>175</v>
      </c>
      <c r="F77" s="87"/>
      <c r="G77" s="110" t="str">
        <f t="shared" si="6"/>
        <v/>
      </c>
      <c r="H77" s="111">
        <f t="shared" si="7"/>
        <v>0</v>
      </c>
      <c r="J77" s="632"/>
      <c r="K77" s="614"/>
      <c r="L77" s="614"/>
      <c r="M77" s="613"/>
      <c r="N77" s="613"/>
      <c r="O77" s="613"/>
      <c r="P77" s="382" t="s">
        <v>1989</v>
      </c>
    </row>
    <row r="78" spans="2:16">
      <c r="B78" s="87">
        <v>72</v>
      </c>
      <c r="C78" s="87" t="s">
        <v>395</v>
      </c>
      <c r="D78" s="87" t="s">
        <v>539</v>
      </c>
      <c r="E78" s="106">
        <v>178.5</v>
      </c>
      <c r="F78" s="87"/>
      <c r="G78" s="110" t="str">
        <f t="shared" si="6"/>
        <v/>
      </c>
      <c r="H78" s="111">
        <f t="shared" si="7"/>
        <v>0</v>
      </c>
      <c r="J78" s="632" t="s">
        <v>1990</v>
      </c>
      <c r="K78" s="614" t="s">
        <v>2009</v>
      </c>
      <c r="L78" s="614"/>
      <c r="M78" s="613">
        <v>26</v>
      </c>
      <c r="N78" s="613">
        <v>625</v>
      </c>
      <c r="O78" s="613"/>
      <c r="P78" s="382" t="s">
        <v>1988</v>
      </c>
    </row>
    <row r="79" spans="2:16">
      <c r="B79" s="87">
        <v>73</v>
      </c>
      <c r="C79" s="87" t="s">
        <v>540</v>
      </c>
      <c r="D79" s="87" t="s">
        <v>541</v>
      </c>
      <c r="E79" s="106">
        <v>180.9</v>
      </c>
      <c r="F79" s="87"/>
      <c r="G79" s="110" t="str">
        <f t="shared" si="6"/>
        <v/>
      </c>
      <c r="H79" s="111">
        <f t="shared" si="7"/>
        <v>0</v>
      </c>
      <c r="J79" s="632"/>
      <c r="K79" s="614"/>
      <c r="L79" s="614"/>
      <c r="M79" s="613"/>
      <c r="N79" s="613"/>
      <c r="O79" s="613"/>
      <c r="P79" s="382" t="s">
        <v>1991</v>
      </c>
    </row>
    <row r="80" spans="2:16">
      <c r="B80" s="87">
        <v>74</v>
      </c>
      <c r="C80" s="87" t="s">
        <v>344</v>
      </c>
      <c r="D80" s="87" t="s">
        <v>542</v>
      </c>
      <c r="E80" s="106">
        <v>183.8</v>
      </c>
      <c r="F80" s="87"/>
      <c r="G80" s="110" t="str">
        <f t="shared" si="6"/>
        <v/>
      </c>
      <c r="H80" s="111">
        <f t="shared" si="7"/>
        <v>0</v>
      </c>
      <c r="J80" s="632" t="s">
        <v>1992</v>
      </c>
      <c r="K80" s="614" t="s">
        <v>2010</v>
      </c>
      <c r="L80" s="614"/>
      <c r="M80" s="613">
        <v>42</v>
      </c>
      <c r="N80" s="613">
        <v>455</v>
      </c>
      <c r="O80" s="613"/>
      <c r="P80" s="382" t="s">
        <v>1988</v>
      </c>
    </row>
    <row r="81" spans="2:16">
      <c r="B81" s="87">
        <v>75</v>
      </c>
      <c r="C81" s="87" t="s">
        <v>543</v>
      </c>
      <c r="D81" s="87" t="s">
        <v>544</v>
      </c>
      <c r="E81" s="106">
        <v>186.2</v>
      </c>
      <c r="F81" s="87"/>
      <c r="G81" s="110" t="str">
        <f t="shared" si="6"/>
        <v/>
      </c>
      <c r="H81" s="111">
        <f t="shared" si="7"/>
        <v>0</v>
      </c>
      <c r="J81" s="632"/>
      <c r="K81" s="614"/>
      <c r="L81" s="614"/>
      <c r="M81" s="613"/>
      <c r="N81" s="613"/>
      <c r="O81" s="613"/>
      <c r="P81" s="382" t="s">
        <v>1993</v>
      </c>
    </row>
    <row r="82" spans="2:16">
      <c r="B82" s="87">
        <v>76</v>
      </c>
      <c r="C82" s="87" t="s">
        <v>545</v>
      </c>
      <c r="D82" s="87" t="s">
        <v>546</v>
      </c>
      <c r="E82" s="106">
        <v>190.2</v>
      </c>
      <c r="F82" s="87"/>
      <c r="G82" s="110" t="str">
        <f t="shared" si="6"/>
        <v/>
      </c>
      <c r="H82" s="111">
        <f t="shared" si="7"/>
        <v>0</v>
      </c>
      <c r="J82" s="322" t="s">
        <v>1994</v>
      </c>
      <c r="K82" s="614" t="s">
        <v>1996</v>
      </c>
      <c r="L82" s="614"/>
      <c r="M82" s="613" t="s">
        <v>1866</v>
      </c>
      <c r="N82" s="613">
        <v>5000</v>
      </c>
      <c r="O82" s="613"/>
      <c r="P82" s="628" t="s">
        <v>1997</v>
      </c>
    </row>
    <row r="83" spans="2:16">
      <c r="B83" s="87">
        <v>77</v>
      </c>
      <c r="C83" s="87" t="s">
        <v>547</v>
      </c>
      <c r="D83" s="87" t="s">
        <v>548</v>
      </c>
      <c r="E83" s="106">
        <v>192.2</v>
      </c>
      <c r="F83" s="87"/>
      <c r="G83" s="110" t="str">
        <f t="shared" si="6"/>
        <v/>
      </c>
      <c r="H83" s="111">
        <f t="shared" si="7"/>
        <v>0</v>
      </c>
      <c r="J83" s="322" t="s">
        <v>1995</v>
      </c>
      <c r="K83" s="614"/>
      <c r="L83" s="614"/>
      <c r="M83" s="613"/>
      <c r="N83" s="613"/>
      <c r="O83" s="613"/>
      <c r="P83" s="628"/>
    </row>
    <row r="84" spans="2:16">
      <c r="B84" s="87">
        <v>78</v>
      </c>
      <c r="C84" s="87" t="s">
        <v>549</v>
      </c>
      <c r="D84" s="87" t="s">
        <v>550</v>
      </c>
      <c r="E84" s="106">
        <v>195.1</v>
      </c>
      <c r="F84" s="87"/>
      <c r="G84" s="110" t="str">
        <f t="shared" si="6"/>
        <v/>
      </c>
      <c r="H84" s="111">
        <f t="shared" si="7"/>
        <v>0</v>
      </c>
      <c r="J84" s="322" t="s">
        <v>1998</v>
      </c>
      <c r="K84" s="613" t="s">
        <v>1999</v>
      </c>
      <c r="L84" s="613"/>
      <c r="M84" s="244">
        <v>1</v>
      </c>
      <c r="N84" s="613">
        <v>40</v>
      </c>
      <c r="O84" s="613"/>
      <c r="P84" s="382" t="s">
        <v>1866</v>
      </c>
    </row>
    <row r="85" spans="2:16">
      <c r="B85" s="87">
        <v>79</v>
      </c>
      <c r="C85" s="87" t="s">
        <v>551</v>
      </c>
      <c r="D85" s="87" t="s">
        <v>552</v>
      </c>
      <c r="E85" s="106">
        <v>197</v>
      </c>
      <c r="F85" s="87"/>
      <c r="G85" s="110" t="str">
        <f t="shared" si="6"/>
        <v/>
      </c>
      <c r="H85" s="111">
        <f t="shared" si="7"/>
        <v>0</v>
      </c>
      <c r="J85" s="322" t="s">
        <v>2000</v>
      </c>
      <c r="K85" s="613" t="s">
        <v>2001</v>
      </c>
      <c r="L85" s="613"/>
      <c r="M85" s="244">
        <v>1</v>
      </c>
      <c r="N85" s="613">
        <v>3.3</v>
      </c>
      <c r="O85" s="613"/>
      <c r="P85" s="382" t="s">
        <v>1866</v>
      </c>
    </row>
    <row r="86" spans="2:16">
      <c r="B86" s="87">
        <v>80</v>
      </c>
      <c r="C86" s="87" t="s">
        <v>553</v>
      </c>
      <c r="D86" s="87" t="s">
        <v>554</v>
      </c>
      <c r="E86" s="106">
        <v>200.6</v>
      </c>
      <c r="F86" s="87"/>
      <c r="G86" s="110" t="str">
        <f t="shared" si="6"/>
        <v/>
      </c>
      <c r="H86" s="111">
        <f t="shared" si="7"/>
        <v>0</v>
      </c>
      <c r="J86" s="322" t="s">
        <v>2002</v>
      </c>
      <c r="K86" s="613" t="s">
        <v>2003</v>
      </c>
      <c r="L86" s="613"/>
      <c r="M86" s="244" t="s">
        <v>1986</v>
      </c>
      <c r="N86" s="613">
        <v>450</v>
      </c>
      <c r="O86" s="613"/>
      <c r="P86" s="382" t="s">
        <v>1866</v>
      </c>
    </row>
    <row r="87" spans="2:16" ht="14.65" thickBot="1">
      <c r="B87" s="87">
        <v>81</v>
      </c>
      <c r="C87" s="87" t="s">
        <v>555</v>
      </c>
      <c r="D87" s="87" t="s">
        <v>556</v>
      </c>
      <c r="E87" s="106">
        <v>204.4</v>
      </c>
      <c r="F87" s="87"/>
      <c r="G87" s="110" t="str">
        <f t="shared" si="6"/>
        <v/>
      </c>
      <c r="H87" s="111">
        <f t="shared" si="7"/>
        <v>0</v>
      </c>
      <c r="J87" s="327" t="s">
        <v>2004</v>
      </c>
      <c r="K87" s="627" t="s">
        <v>187</v>
      </c>
      <c r="L87" s="627"/>
      <c r="M87" s="328" t="s">
        <v>2005</v>
      </c>
      <c r="N87" s="627">
        <v>118</v>
      </c>
      <c r="O87" s="627"/>
      <c r="P87" s="383" t="s">
        <v>2006</v>
      </c>
    </row>
    <row r="88" spans="2:16" ht="14.65" thickTop="1">
      <c r="B88" s="87">
        <v>82</v>
      </c>
      <c r="C88" s="87" t="s">
        <v>557</v>
      </c>
      <c r="D88" s="87" t="s">
        <v>558</v>
      </c>
      <c r="E88" s="106">
        <v>207.2</v>
      </c>
      <c r="F88" s="87"/>
      <c r="G88" s="110" t="str">
        <f t="shared" si="6"/>
        <v/>
      </c>
      <c r="H88" s="111">
        <f t="shared" si="7"/>
        <v>0</v>
      </c>
    </row>
    <row r="89" spans="2:16">
      <c r="B89" s="87">
        <v>83</v>
      </c>
      <c r="C89" s="87" t="s">
        <v>559</v>
      </c>
      <c r="D89" s="87" t="s">
        <v>560</v>
      </c>
      <c r="E89" s="106">
        <v>209</v>
      </c>
      <c r="F89" s="87"/>
      <c r="G89" s="110" t="str">
        <f t="shared" si="6"/>
        <v/>
      </c>
      <c r="H89" s="111">
        <f t="shared" si="7"/>
        <v>0</v>
      </c>
    </row>
    <row r="90" spans="2:16">
      <c r="B90" s="87">
        <v>84</v>
      </c>
      <c r="C90" s="87" t="s">
        <v>561</v>
      </c>
      <c r="D90" s="87" t="s">
        <v>562</v>
      </c>
      <c r="E90" s="106">
        <v>209</v>
      </c>
      <c r="F90" s="87"/>
      <c r="G90" s="110" t="str">
        <f t="shared" si="6"/>
        <v/>
      </c>
      <c r="H90" s="111">
        <f t="shared" si="7"/>
        <v>0</v>
      </c>
    </row>
    <row r="91" spans="2:16">
      <c r="B91" s="87">
        <v>85</v>
      </c>
      <c r="C91" s="87" t="s">
        <v>563</v>
      </c>
      <c r="D91" s="87" t="s">
        <v>564</v>
      </c>
      <c r="E91" s="106">
        <v>210</v>
      </c>
      <c r="F91" s="87"/>
      <c r="G91" s="110" t="str">
        <f t="shared" si="6"/>
        <v/>
      </c>
      <c r="H91" s="111">
        <f t="shared" si="7"/>
        <v>0</v>
      </c>
    </row>
    <row r="92" spans="2:16">
      <c r="B92" s="87">
        <v>86</v>
      </c>
      <c r="C92" s="87" t="s">
        <v>565</v>
      </c>
      <c r="D92" s="87" t="s">
        <v>566</v>
      </c>
      <c r="E92" s="106">
        <v>222</v>
      </c>
      <c r="F92" s="87"/>
      <c r="G92" s="110" t="str">
        <f t="shared" si="6"/>
        <v/>
      </c>
      <c r="H92" s="111">
        <f t="shared" si="7"/>
        <v>0</v>
      </c>
    </row>
    <row r="93" spans="2:16">
      <c r="B93" s="87">
        <v>87</v>
      </c>
      <c r="C93" s="87" t="s">
        <v>567</v>
      </c>
      <c r="D93" s="87" t="s">
        <v>568</v>
      </c>
      <c r="E93" s="106">
        <v>223</v>
      </c>
      <c r="F93" s="87"/>
      <c r="G93" s="110" t="str">
        <f t="shared" si="6"/>
        <v/>
      </c>
      <c r="H93" s="111">
        <f t="shared" si="7"/>
        <v>0</v>
      </c>
    </row>
    <row r="94" spans="2:16">
      <c r="B94" s="87">
        <v>88</v>
      </c>
      <c r="C94" s="87" t="s">
        <v>569</v>
      </c>
      <c r="D94" s="87" t="s">
        <v>570</v>
      </c>
      <c r="E94" s="106">
        <v>226</v>
      </c>
      <c r="F94" s="87"/>
      <c r="G94" s="110" t="str">
        <f t="shared" si="6"/>
        <v/>
      </c>
      <c r="H94" s="111">
        <f t="shared" si="7"/>
        <v>0</v>
      </c>
    </row>
    <row r="95" spans="2:16">
      <c r="B95" s="87">
        <v>89</v>
      </c>
      <c r="C95" s="87" t="s">
        <v>571</v>
      </c>
      <c r="D95" s="87" t="s">
        <v>572</v>
      </c>
      <c r="E95" s="106">
        <v>227</v>
      </c>
      <c r="F95" s="87"/>
      <c r="G95" s="110" t="str">
        <f t="shared" si="6"/>
        <v/>
      </c>
      <c r="H95" s="111">
        <f t="shared" si="7"/>
        <v>0</v>
      </c>
    </row>
    <row r="96" spans="2:16">
      <c r="B96" s="87">
        <v>90</v>
      </c>
      <c r="C96" s="87" t="s">
        <v>573</v>
      </c>
      <c r="D96" s="87" t="s">
        <v>574</v>
      </c>
      <c r="E96" s="106">
        <v>232</v>
      </c>
      <c r="F96" s="87"/>
      <c r="G96" s="110" t="str">
        <f t="shared" si="6"/>
        <v/>
      </c>
      <c r="H96" s="111">
        <f t="shared" si="7"/>
        <v>0</v>
      </c>
    </row>
    <row r="97" spans="2:8">
      <c r="B97" s="87">
        <v>91</v>
      </c>
      <c r="C97" s="87" t="s">
        <v>575</v>
      </c>
      <c r="D97" s="87" t="s">
        <v>576</v>
      </c>
      <c r="E97" s="106">
        <v>231</v>
      </c>
      <c r="F97" s="87"/>
      <c r="G97" s="110" t="str">
        <f t="shared" si="6"/>
        <v/>
      </c>
      <c r="H97" s="111">
        <f t="shared" si="7"/>
        <v>0</v>
      </c>
    </row>
    <row r="98" spans="2:8">
      <c r="B98" s="87">
        <v>92</v>
      </c>
      <c r="C98" s="87" t="s">
        <v>577</v>
      </c>
      <c r="D98" s="87" t="s">
        <v>578</v>
      </c>
      <c r="E98" s="106">
        <v>238</v>
      </c>
      <c r="F98" s="87"/>
      <c r="G98" s="110" t="str">
        <f t="shared" si="6"/>
        <v/>
      </c>
      <c r="H98" s="111">
        <f t="shared" si="7"/>
        <v>0</v>
      </c>
    </row>
    <row r="99" spans="2:8">
      <c r="B99" s="87">
        <v>93</v>
      </c>
      <c r="C99" s="87" t="s">
        <v>579</v>
      </c>
      <c r="D99" s="87" t="s">
        <v>580</v>
      </c>
      <c r="E99" s="106">
        <v>237</v>
      </c>
      <c r="F99" s="87"/>
      <c r="G99" s="110" t="str">
        <f t="shared" si="6"/>
        <v/>
      </c>
      <c r="H99" s="111">
        <f t="shared" si="7"/>
        <v>0</v>
      </c>
    </row>
    <row r="100" spans="2:8">
      <c r="B100" s="87">
        <v>94</v>
      </c>
      <c r="C100" s="87" t="s">
        <v>581</v>
      </c>
      <c r="D100" s="87" t="s">
        <v>582</v>
      </c>
      <c r="E100" s="106">
        <v>244</v>
      </c>
      <c r="F100" s="87"/>
      <c r="G100" s="110" t="str">
        <f t="shared" si="6"/>
        <v/>
      </c>
      <c r="H100" s="111">
        <f t="shared" si="7"/>
        <v>0</v>
      </c>
    </row>
    <row r="101" spans="2:8">
      <c r="B101" s="87">
        <v>95</v>
      </c>
      <c r="C101" s="87" t="s">
        <v>583</v>
      </c>
      <c r="D101" s="87" t="s">
        <v>584</v>
      </c>
      <c r="E101" s="106">
        <v>243</v>
      </c>
      <c r="F101" s="87"/>
      <c r="G101" s="110" t="str">
        <f t="shared" si="6"/>
        <v/>
      </c>
      <c r="H101" s="111">
        <f t="shared" si="7"/>
        <v>0</v>
      </c>
    </row>
    <row r="102" spans="2:8">
      <c r="B102" s="87">
        <v>96</v>
      </c>
      <c r="C102" s="87" t="s">
        <v>585</v>
      </c>
      <c r="D102" s="87" t="s">
        <v>586</v>
      </c>
      <c r="E102" s="106">
        <v>247</v>
      </c>
      <c r="F102" s="87"/>
      <c r="G102" s="110" t="str">
        <f t="shared" si="6"/>
        <v/>
      </c>
      <c r="H102" s="111">
        <f t="shared" si="7"/>
        <v>0</v>
      </c>
    </row>
    <row r="103" spans="2:8">
      <c r="B103" s="87">
        <v>97</v>
      </c>
      <c r="C103" s="87" t="s">
        <v>587</v>
      </c>
      <c r="D103" s="87" t="s">
        <v>588</v>
      </c>
      <c r="E103" s="106">
        <v>247</v>
      </c>
      <c r="F103" s="87"/>
      <c r="G103" s="110" t="str">
        <f t="shared" si="6"/>
        <v/>
      </c>
      <c r="H103" s="111">
        <f t="shared" si="7"/>
        <v>0</v>
      </c>
    </row>
    <row r="104" spans="2:8">
      <c r="B104" s="87">
        <v>98</v>
      </c>
      <c r="C104" s="87" t="s">
        <v>589</v>
      </c>
      <c r="D104" s="87" t="s">
        <v>590</v>
      </c>
      <c r="E104" s="106">
        <v>251</v>
      </c>
      <c r="F104" s="87"/>
      <c r="G104" s="110" t="str">
        <f t="shared" si="6"/>
        <v/>
      </c>
      <c r="H104" s="111">
        <f t="shared" si="7"/>
        <v>0</v>
      </c>
    </row>
    <row r="105" spans="2:8">
      <c r="B105" s="87">
        <v>99</v>
      </c>
      <c r="C105" s="87" t="s">
        <v>591</v>
      </c>
      <c r="D105" s="87" t="s">
        <v>592</v>
      </c>
      <c r="E105" s="106">
        <v>252</v>
      </c>
      <c r="F105" s="87"/>
      <c r="G105" s="110" t="str">
        <f t="shared" si="6"/>
        <v/>
      </c>
      <c r="H105" s="111">
        <f t="shared" si="7"/>
        <v>0</v>
      </c>
    </row>
    <row r="106" spans="2:8">
      <c r="B106" s="87">
        <v>100</v>
      </c>
      <c r="C106" s="87" t="s">
        <v>593</v>
      </c>
      <c r="D106" s="87" t="s">
        <v>594</v>
      </c>
      <c r="E106" s="106">
        <v>257</v>
      </c>
      <c r="F106" s="87"/>
      <c r="G106" s="110" t="str">
        <f t="shared" si="6"/>
        <v/>
      </c>
      <c r="H106" s="111">
        <f t="shared" si="7"/>
        <v>0</v>
      </c>
    </row>
    <row r="107" spans="2:8">
      <c r="B107" s="87">
        <v>101</v>
      </c>
      <c r="C107" s="87" t="s">
        <v>595</v>
      </c>
      <c r="D107" s="87" t="s">
        <v>596</v>
      </c>
      <c r="E107" s="106">
        <v>258</v>
      </c>
      <c r="F107" s="87"/>
      <c r="G107" s="110" t="str">
        <f t="shared" si="6"/>
        <v/>
      </c>
      <c r="H107" s="111">
        <f t="shared" si="7"/>
        <v>0</v>
      </c>
    </row>
    <row r="108" spans="2:8">
      <c r="B108" s="87">
        <v>102</v>
      </c>
      <c r="C108" s="87" t="s">
        <v>597</v>
      </c>
      <c r="D108" s="87" t="s">
        <v>598</v>
      </c>
      <c r="E108" s="106">
        <v>259</v>
      </c>
      <c r="F108" s="87"/>
      <c r="G108" s="110" t="str">
        <f t="shared" si="6"/>
        <v/>
      </c>
      <c r="H108" s="111">
        <f t="shared" si="7"/>
        <v>0</v>
      </c>
    </row>
    <row r="109" spans="2:8">
      <c r="B109" s="87">
        <v>103</v>
      </c>
      <c r="C109" s="87" t="s">
        <v>599</v>
      </c>
      <c r="D109" s="87" t="s">
        <v>600</v>
      </c>
      <c r="E109" s="106">
        <v>262</v>
      </c>
      <c r="F109" s="87"/>
      <c r="G109" s="110" t="str">
        <f t="shared" si="6"/>
        <v/>
      </c>
      <c r="H109" s="111">
        <f t="shared" si="7"/>
        <v>0</v>
      </c>
    </row>
    <row r="110" spans="2:8">
      <c r="B110" s="87">
        <v>104</v>
      </c>
      <c r="C110" s="87" t="s">
        <v>601</v>
      </c>
      <c r="D110" s="87" t="s">
        <v>602</v>
      </c>
      <c r="E110" s="106">
        <v>267</v>
      </c>
      <c r="F110" s="87"/>
      <c r="G110" s="110" t="str">
        <f t="shared" si="6"/>
        <v/>
      </c>
      <c r="H110" s="111">
        <f t="shared" si="7"/>
        <v>0</v>
      </c>
    </row>
    <row r="111" spans="2:8">
      <c r="B111" s="87">
        <v>105</v>
      </c>
      <c r="C111" s="87" t="s">
        <v>603</v>
      </c>
      <c r="D111" s="87" t="s">
        <v>604</v>
      </c>
      <c r="E111" s="106">
        <v>268</v>
      </c>
      <c r="F111" s="87"/>
      <c r="G111" s="110" t="str">
        <f t="shared" si="6"/>
        <v/>
      </c>
      <c r="H111" s="111">
        <f t="shared" si="7"/>
        <v>0</v>
      </c>
    </row>
    <row r="112" spans="2:8">
      <c r="B112" s="87">
        <v>106</v>
      </c>
      <c r="C112" s="87" t="s">
        <v>605</v>
      </c>
      <c r="D112" s="87" t="s">
        <v>606</v>
      </c>
      <c r="E112" s="106">
        <v>271</v>
      </c>
      <c r="F112" s="87"/>
      <c r="G112" s="110" t="str">
        <f t="shared" si="6"/>
        <v/>
      </c>
      <c r="H112" s="111">
        <f t="shared" si="7"/>
        <v>0</v>
      </c>
    </row>
    <row r="113" spans="2:8">
      <c r="B113" s="87">
        <v>107</v>
      </c>
      <c r="C113" s="87" t="s">
        <v>607</v>
      </c>
      <c r="D113" s="87" t="s">
        <v>608</v>
      </c>
      <c r="E113" s="106">
        <v>272</v>
      </c>
      <c r="F113" s="87"/>
      <c r="G113" s="110" t="str">
        <f t="shared" si="6"/>
        <v/>
      </c>
      <c r="H113" s="111">
        <f t="shared" si="7"/>
        <v>0</v>
      </c>
    </row>
    <row r="114" spans="2:8">
      <c r="B114" s="87">
        <v>108</v>
      </c>
      <c r="C114" s="87" t="s">
        <v>609</v>
      </c>
      <c r="D114" s="87" t="s">
        <v>610</v>
      </c>
      <c r="E114" s="106">
        <v>270</v>
      </c>
      <c r="F114" s="87"/>
      <c r="G114" s="110" t="str">
        <f t="shared" si="6"/>
        <v/>
      </c>
      <c r="H114" s="111">
        <f t="shared" si="7"/>
        <v>0</v>
      </c>
    </row>
    <row r="115" spans="2:8">
      <c r="B115" s="87">
        <v>109</v>
      </c>
      <c r="C115" s="87" t="s">
        <v>611</v>
      </c>
      <c r="D115" s="87" t="s">
        <v>612</v>
      </c>
      <c r="E115" s="106">
        <v>276</v>
      </c>
      <c r="F115" s="87"/>
      <c r="G115" s="110" t="str">
        <f t="shared" si="6"/>
        <v/>
      </c>
      <c r="H115" s="111">
        <f t="shared" si="7"/>
        <v>0</v>
      </c>
    </row>
    <row r="116" spans="2:8">
      <c r="B116" s="87">
        <v>110</v>
      </c>
      <c r="C116" s="87" t="s">
        <v>613</v>
      </c>
      <c r="D116" s="87" t="s">
        <v>614</v>
      </c>
      <c r="E116" s="106">
        <v>281</v>
      </c>
      <c r="F116" s="87"/>
      <c r="G116" s="110" t="str">
        <f t="shared" si="6"/>
        <v/>
      </c>
      <c r="H116" s="111">
        <f t="shared" si="7"/>
        <v>0</v>
      </c>
    </row>
    <row r="117" spans="2:8">
      <c r="B117" s="87">
        <v>111</v>
      </c>
      <c r="C117" s="87" t="s">
        <v>615</v>
      </c>
      <c r="D117" s="87" t="s">
        <v>616</v>
      </c>
      <c r="E117" s="106">
        <v>280</v>
      </c>
      <c r="F117" s="87"/>
      <c r="G117" s="110" t="str">
        <f t="shared" si="6"/>
        <v/>
      </c>
      <c r="H117" s="111">
        <f t="shared" si="7"/>
        <v>0</v>
      </c>
    </row>
    <row r="118" spans="2:8">
      <c r="B118" s="87">
        <v>112</v>
      </c>
      <c r="C118" s="87" t="s">
        <v>617</v>
      </c>
      <c r="D118" s="87" t="s">
        <v>618</v>
      </c>
      <c r="E118" s="106">
        <v>285</v>
      </c>
      <c r="F118" s="87"/>
      <c r="G118" s="110" t="str">
        <f t="shared" si="6"/>
        <v/>
      </c>
      <c r="H118" s="111">
        <f t="shared" si="7"/>
        <v>0</v>
      </c>
    </row>
    <row r="119" spans="2:8">
      <c r="B119" s="87">
        <v>113</v>
      </c>
      <c r="C119" s="87" t="s">
        <v>619</v>
      </c>
      <c r="D119" s="87" t="s">
        <v>620</v>
      </c>
      <c r="E119" s="106">
        <v>284</v>
      </c>
      <c r="F119" s="87"/>
      <c r="G119" s="110" t="str">
        <f t="shared" si="6"/>
        <v/>
      </c>
      <c r="H119" s="111">
        <f t="shared" si="7"/>
        <v>0</v>
      </c>
    </row>
    <row r="120" spans="2:8">
      <c r="B120" s="87">
        <v>114</v>
      </c>
      <c r="C120" s="87" t="s">
        <v>621</v>
      </c>
      <c r="D120" s="87" t="s">
        <v>622</v>
      </c>
      <c r="E120" s="106">
        <v>289</v>
      </c>
      <c r="F120" s="87"/>
      <c r="G120" s="110" t="str">
        <f t="shared" si="6"/>
        <v/>
      </c>
      <c r="H120" s="111">
        <f t="shared" si="7"/>
        <v>0</v>
      </c>
    </row>
    <row r="121" spans="2:8">
      <c r="B121" s="87">
        <v>115</v>
      </c>
      <c r="C121" s="87" t="s">
        <v>623</v>
      </c>
      <c r="D121" s="87" t="s">
        <v>624</v>
      </c>
      <c r="E121" s="106">
        <v>288</v>
      </c>
      <c r="F121" s="87"/>
      <c r="G121" s="110" t="str">
        <f t="shared" si="6"/>
        <v/>
      </c>
      <c r="H121" s="111">
        <f t="shared" si="7"/>
        <v>0</v>
      </c>
    </row>
    <row r="122" spans="2:8">
      <c r="B122" s="87">
        <v>116</v>
      </c>
      <c r="C122" s="87" t="s">
        <v>625</v>
      </c>
      <c r="D122" s="87" t="s">
        <v>626</v>
      </c>
      <c r="E122" s="106">
        <v>293</v>
      </c>
      <c r="F122" s="87"/>
      <c r="G122" s="110" t="str">
        <f t="shared" si="6"/>
        <v/>
      </c>
      <c r="H122" s="111">
        <f t="shared" si="7"/>
        <v>0</v>
      </c>
    </row>
    <row r="123" spans="2:8">
      <c r="B123" s="87">
        <v>117</v>
      </c>
      <c r="C123" s="87" t="s">
        <v>627</v>
      </c>
      <c r="D123" s="87" t="s">
        <v>628</v>
      </c>
      <c r="E123" s="106">
        <v>292</v>
      </c>
      <c r="F123" s="87"/>
      <c r="G123" s="110" t="str">
        <f t="shared" si="6"/>
        <v/>
      </c>
      <c r="H123" s="111">
        <f t="shared" si="7"/>
        <v>0</v>
      </c>
    </row>
    <row r="124" spans="2:8">
      <c r="B124" s="87">
        <v>118</v>
      </c>
      <c r="C124" s="87" t="s">
        <v>629</v>
      </c>
      <c r="D124" s="87" t="s">
        <v>630</v>
      </c>
      <c r="E124" s="106">
        <v>294</v>
      </c>
      <c r="F124" s="87"/>
      <c r="G124" s="112" t="str">
        <f t="shared" si="6"/>
        <v/>
      </c>
      <c r="H124" s="113">
        <f t="shared" si="7"/>
        <v>0</v>
      </c>
    </row>
  </sheetData>
  <autoFilter ref="B4:F124" xr:uid="{B43A11C0-D894-4C5A-BFDC-DA07B9E22E00}"/>
  <mergeCells count="173">
    <mergeCell ref="Q41:T41"/>
    <mergeCell ref="O32:O34"/>
    <mergeCell ref="P32:P34"/>
    <mergeCell ref="O35:O37"/>
    <mergeCell ref="P35:P37"/>
    <mergeCell ref="O38:O41"/>
    <mergeCell ref="P38:P41"/>
    <mergeCell ref="Q31:T31"/>
    <mergeCell ref="O31:P31"/>
    <mergeCell ref="Q40:T40"/>
    <mergeCell ref="O28:Q29"/>
    <mergeCell ref="Q32:T32"/>
    <mergeCell ref="Q33:T33"/>
    <mergeCell ref="Q34:T34"/>
    <mergeCell ref="Q35:T35"/>
    <mergeCell ref="Q36:T36"/>
    <mergeCell ref="Q37:T37"/>
    <mergeCell ref="Q38:T38"/>
    <mergeCell ref="Q39:T39"/>
    <mergeCell ref="Q56:Q57"/>
    <mergeCell ref="O58:P58"/>
    <mergeCell ref="O59:P59"/>
    <mergeCell ref="J48:K48"/>
    <mergeCell ref="L48:N48"/>
    <mergeCell ref="O48:P48"/>
    <mergeCell ref="L59:N59"/>
    <mergeCell ref="O49:P49"/>
    <mergeCell ref="O50:P50"/>
    <mergeCell ref="O51:P51"/>
    <mergeCell ref="O52:P52"/>
    <mergeCell ref="O53:P53"/>
    <mergeCell ref="O54:P54"/>
    <mergeCell ref="O55:P55"/>
    <mergeCell ref="O56:P57"/>
    <mergeCell ref="L54:N54"/>
    <mergeCell ref="J56:K57"/>
    <mergeCell ref="L56:N57"/>
    <mergeCell ref="L55:N55"/>
    <mergeCell ref="L58:N58"/>
    <mergeCell ref="L49:N49"/>
    <mergeCell ref="L50:N50"/>
    <mergeCell ref="L51:N51"/>
    <mergeCell ref="V3:V5"/>
    <mergeCell ref="W3:W5"/>
    <mergeCell ref="X3:X5"/>
    <mergeCell ref="Y3:Y5"/>
    <mergeCell ref="Z3:Z5"/>
    <mergeCell ref="W38:W41"/>
    <mergeCell ref="V38:V41"/>
    <mergeCell ref="Y42:Y45"/>
    <mergeCell ref="X42:X45"/>
    <mergeCell ref="W42:W45"/>
    <mergeCell ref="V42:V45"/>
    <mergeCell ref="V30:V33"/>
    <mergeCell ref="W30:W33"/>
    <mergeCell ref="V34:V37"/>
    <mergeCell ref="W34:W37"/>
    <mergeCell ref="X34:X37"/>
    <mergeCell ref="W22:W25"/>
    <mergeCell ref="V22:V25"/>
    <mergeCell ref="V26:V29"/>
    <mergeCell ref="W26:W29"/>
    <mergeCell ref="X26:X29"/>
    <mergeCell ref="Z34:Z37"/>
    <mergeCell ref="Z38:Z41"/>
    <mergeCell ref="Z42:Z45"/>
    <mergeCell ref="Y22:Y25"/>
    <mergeCell ref="X22:X25"/>
    <mergeCell ref="Y26:Y29"/>
    <mergeCell ref="Y30:Y33"/>
    <mergeCell ref="X30:X33"/>
    <mergeCell ref="Y34:Y37"/>
    <mergeCell ref="Y38:Y41"/>
    <mergeCell ref="X38:X41"/>
    <mergeCell ref="Z14:Z17"/>
    <mergeCell ref="Z18:Z21"/>
    <mergeCell ref="Z22:Z25"/>
    <mergeCell ref="Z26:Z29"/>
    <mergeCell ref="Z30:Z33"/>
    <mergeCell ref="V14:V17"/>
    <mergeCell ref="W14:W17"/>
    <mergeCell ref="X14:X17"/>
    <mergeCell ref="Y14:Y17"/>
    <mergeCell ref="V18:V21"/>
    <mergeCell ref="W18:W21"/>
    <mergeCell ref="X18:X21"/>
    <mergeCell ref="Y18:Y21"/>
    <mergeCell ref="Y10:Y13"/>
    <mergeCell ref="Z10:Z13"/>
    <mergeCell ref="V10:V13"/>
    <mergeCell ref="W10:W13"/>
    <mergeCell ref="X10:X13"/>
    <mergeCell ref="V6:V9"/>
    <mergeCell ref="W6:W9"/>
    <mergeCell ref="X6:X9"/>
    <mergeCell ref="Y6:Y9"/>
    <mergeCell ref="Z6:Z9"/>
    <mergeCell ref="O19:Q20"/>
    <mergeCell ref="G4:G6"/>
    <mergeCell ref="H4:H6"/>
    <mergeCell ref="J19:L20"/>
    <mergeCell ref="F4:F6"/>
    <mergeCell ref="O4:Q5"/>
    <mergeCell ref="O14:Q14"/>
    <mergeCell ref="O8:Q8"/>
    <mergeCell ref="O9:Q9"/>
    <mergeCell ref="O10:Q10"/>
    <mergeCell ref="O11:Q11"/>
    <mergeCell ref="O12:Q12"/>
    <mergeCell ref="O13:Q13"/>
    <mergeCell ref="O7:Q7"/>
    <mergeCell ref="J62:J64"/>
    <mergeCell ref="M65:M66"/>
    <mergeCell ref="M67:M68"/>
    <mergeCell ref="B2:D2"/>
    <mergeCell ref="B4:B6"/>
    <mergeCell ref="C4:C6"/>
    <mergeCell ref="D4:D6"/>
    <mergeCell ref="E4:E6"/>
    <mergeCell ref="E2:L2"/>
    <mergeCell ref="L52:N52"/>
    <mergeCell ref="L53:N53"/>
    <mergeCell ref="J50:K53"/>
    <mergeCell ref="J45:K46"/>
    <mergeCell ref="K62:L64"/>
    <mergeCell ref="K65:L66"/>
    <mergeCell ref="K67:L68"/>
    <mergeCell ref="K69:L69"/>
    <mergeCell ref="K70:L71"/>
    <mergeCell ref="K72:L72"/>
    <mergeCell ref="K73:L73"/>
    <mergeCell ref="K74:L74"/>
    <mergeCell ref="K75:L75"/>
    <mergeCell ref="N85:O85"/>
    <mergeCell ref="P65:P66"/>
    <mergeCell ref="P67:P68"/>
    <mergeCell ref="P70:P71"/>
    <mergeCell ref="K78:L79"/>
    <mergeCell ref="K80:L81"/>
    <mergeCell ref="J80:J81"/>
    <mergeCell ref="M80:M81"/>
    <mergeCell ref="M82:M83"/>
    <mergeCell ref="K76:L77"/>
    <mergeCell ref="J70:J71"/>
    <mergeCell ref="M70:M71"/>
    <mergeCell ref="J76:J77"/>
    <mergeCell ref="M76:M77"/>
    <mergeCell ref="J78:J79"/>
    <mergeCell ref="M78:M79"/>
    <mergeCell ref="N86:O86"/>
    <mergeCell ref="N87:O87"/>
    <mergeCell ref="K84:L84"/>
    <mergeCell ref="K82:L83"/>
    <mergeCell ref="P82:P83"/>
    <mergeCell ref="K85:L85"/>
    <mergeCell ref="K86:L86"/>
    <mergeCell ref="K87:L87"/>
    <mergeCell ref="M62:M64"/>
    <mergeCell ref="N62:O64"/>
    <mergeCell ref="P62:P64"/>
    <mergeCell ref="N65:O66"/>
    <mergeCell ref="N67:O68"/>
    <mergeCell ref="N69:O69"/>
    <mergeCell ref="N70:O71"/>
    <mergeCell ref="N72:O72"/>
    <mergeCell ref="N73:O73"/>
    <mergeCell ref="N74:O74"/>
    <mergeCell ref="N75:O75"/>
    <mergeCell ref="N76:O77"/>
    <mergeCell ref="N78:O79"/>
    <mergeCell ref="N80:O81"/>
    <mergeCell ref="N82:O83"/>
    <mergeCell ref="N84:O8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all">
                <anchor moveWithCells="1" sizeWithCells="1">
                  <from>
                    <xdr:col>9</xdr:col>
                    <xdr:colOff>4763</xdr:colOff>
                    <xdr:row>8</xdr:row>
                    <xdr:rowOff>4763</xdr:rowOff>
                  </from>
                  <to>
                    <xdr:col>9</xdr:col>
                    <xdr:colOff>638175</xdr:colOff>
                    <xdr:row>9</xdr:row>
                    <xdr:rowOff>157163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561A6-6007-4FFD-9F51-992D460585F9}">
  <sheetPr codeName="Sheet22">
    <tabColor theme="4"/>
  </sheetPr>
  <dimension ref="A1:S32"/>
  <sheetViews>
    <sheetView tabSelected="1" workbookViewId="0">
      <selection activeCell="I19" sqref="I19"/>
    </sheetView>
  </sheetViews>
  <sheetFormatPr defaultRowHeight="14.25"/>
  <cols>
    <col min="15" max="15" width="9.06640625" style="540"/>
    <col min="18" max="18" width="9.06640625" customWidth="1"/>
  </cols>
  <sheetData>
    <row r="1" spans="1:19" ht="15.75">
      <c r="A1" s="657" t="s">
        <v>2247</v>
      </c>
      <c r="B1" s="657"/>
      <c r="C1" s="657"/>
      <c r="D1" s="657"/>
      <c r="E1" s="657"/>
      <c r="F1" s="657"/>
    </row>
    <row r="2" spans="1:19">
      <c r="A2" t="s">
        <v>2248</v>
      </c>
      <c r="B2" t="s">
        <v>2265</v>
      </c>
      <c r="N2" t="s">
        <v>2264</v>
      </c>
    </row>
    <row r="3" spans="1:19" s="538" customFormat="1">
      <c r="B3" s="538" t="s">
        <v>2266</v>
      </c>
      <c r="O3" s="540"/>
    </row>
    <row r="5" spans="1:19" s="540" customFormat="1">
      <c r="B5" s="189" t="s">
        <v>1435</v>
      </c>
      <c r="J5" s="189" t="s">
        <v>2228</v>
      </c>
      <c r="P5" s="189" t="s">
        <v>1795</v>
      </c>
    </row>
    <row r="6" spans="1:19">
      <c r="J6" s="542" t="s">
        <v>2256</v>
      </c>
      <c r="P6" s="621" t="str">
        <f>IF(L24&gt;0.5,"Conservation of Momentum not preserved","")</f>
        <v/>
      </c>
      <c r="Q6" s="621"/>
      <c r="R6" s="621"/>
      <c r="S6" s="621"/>
    </row>
    <row r="7" spans="1:19">
      <c r="C7" s="540" t="s">
        <v>2254</v>
      </c>
      <c r="E7" s="184">
        <v>3</v>
      </c>
      <c r="F7" t="s">
        <v>2258</v>
      </c>
      <c r="G7" s="167">
        <f>ACOS(1-(1/E7)*4*PI()/(2*PI())/1)*180/PI()</f>
        <v>70.528779365509308</v>
      </c>
      <c r="H7" t="s">
        <v>2257</v>
      </c>
      <c r="K7" s="184">
        <v>22</v>
      </c>
      <c r="L7" s="658" t="str">
        <f>LOOKUP(K7,Material!A:A,Material!B:B)</f>
        <v>Water</v>
      </c>
      <c r="M7" s="659"/>
      <c r="N7" s="659"/>
      <c r="O7" s="541"/>
      <c r="P7" s="621" t="str">
        <f>IF(L28/1000000&gt;L18,"Pusher Material Yield Limit Exceeded","")</f>
        <v/>
      </c>
      <c r="Q7" s="621"/>
      <c r="R7" s="621"/>
      <c r="S7" s="621"/>
    </row>
    <row r="8" spans="1:19">
      <c r="J8" s="1">
        <f>LOOKUP(K7,Materials[[#All],[Refe-rence]],Materials[[#All],[Enthalpy Change of Vaporization (J/mol)]])/(L8/1000)/1000000</f>
        <v>2.2563277087033748</v>
      </c>
      <c r="K8" s="538" t="s">
        <v>2238</v>
      </c>
      <c r="L8" s="538">
        <f>LOOKUP(K7,Materials[[#All],[Refe-rence]],Materials[[#All],[Molar mass (g/mol)]])</f>
        <v>18.015999999999998</v>
      </c>
      <c r="M8" s="538" t="s">
        <v>633</v>
      </c>
      <c r="N8" s="538">
        <f>LOOKUP(K7,Materials[[#All],[Refe-rence]],Materials[[#All],[Density (kg/m3)]])</f>
        <v>998.2</v>
      </c>
      <c r="O8" t="s">
        <v>2243</v>
      </c>
    </row>
    <row r="9" spans="1:19">
      <c r="C9" t="s">
        <v>2221</v>
      </c>
      <c r="L9" s="171" t="s">
        <v>2249</v>
      </c>
      <c r="M9" s="185">
        <v>1.08</v>
      </c>
      <c r="N9" t="str">
        <f>"x     (est~"&amp;ROUND((L8/238)+1,2)&amp;")"</f>
        <v>x     (est~1.08)</v>
      </c>
      <c r="Q9" t="s">
        <v>2239</v>
      </c>
    </row>
    <row r="10" spans="1:19">
      <c r="D10" t="s">
        <v>2222</v>
      </c>
      <c r="E10" s="184">
        <v>1200</v>
      </c>
      <c r="F10" t="s">
        <v>1521</v>
      </c>
      <c r="G10" s="172">
        <f>4184000000*E10</f>
        <v>5020800000000</v>
      </c>
      <c r="H10" t="s">
        <v>27</v>
      </c>
      <c r="J10" s="542" t="s">
        <v>2255</v>
      </c>
      <c r="K10" s="538"/>
      <c r="L10" s="538"/>
      <c r="M10" s="538"/>
      <c r="N10" s="538"/>
      <c r="Q10" t="s">
        <v>2240</v>
      </c>
      <c r="R10" s="1">
        <f>ablationNuke(D19,SUM(E11,E15),G10,D21,L15,J8*1000000,N8,M9,E7)</f>
        <v>40.917784685545534</v>
      </c>
      <c r="S10" t="s">
        <v>1</v>
      </c>
    </row>
    <row r="11" spans="1:19">
      <c r="C11" s="540"/>
      <c r="D11" s="540" t="s">
        <v>4</v>
      </c>
      <c r="E11" s="184">
        <v>55</v>
      </c>
      <c r="F11" s="540" t="s">
        <v>1</v>
      </c>
      <c r="G11" s="540"/>
      <c r="H11" s="540"/>
      <c r="K11" s="184">
        <v>192</v>
      </c>
      <c r="L11" s="658" t="str">
        <f>LOOKUP(K11,Material!A2:A1048576,Material!B2:B1048576)</f>
        <v>Vanadium Chromium Steel</v>
      </c>
      <c r="M11" s="596"/>
      <c r="N11" s="596"/>
      <c r="O11" s="539"/>
      <c r="R11" s="1">
        <f>R10/(PI()*L15^2)</f>
        <v>0.14431618156397621</v>
      </c>
      <c r="S11" t="s">
        <v>2244</v>
      </c>
    </row>
    <row r="12" spans="1:19">
      <c r="C12" s="540"/>
      <c r="D12" s="540"/>
      <c r="E12" s="540"/>
      <c r="F12" s="540"/>
      <c r="G12" s="540"/>
      <c r="H12" s="540"/>
      <c r="J12" s="538">
        <f>LOOKUP(K11,Materials[[#All],[Refe-rence]],Materials[[#All],[Yield Strength (Mpa)]])</f>
        <v>5171</v>
      </c>
      <c r="K12" s="538" t="s">
        <v>21</v>
      </c>
      <c r="L12" s="538"/>
      <c r="M12" s="538"/>
      <c r="N12" s="538"/>
      <c r="R12" s="1">
        <f>R10/(PI()*L15^2)/N8*1000</f>
        <v>0.14457641911838931</v>
      </c>
      <c r="S12" t="s">
        <v>2241</v>
      </c>
    </row>
    <row r="13" spans="1:19">
      <c r="C13" s="540" t="s">
        <v>838</v>
      </c>
      <c r="D13" s="540"/>
      <c r="E13" s="540"/>
      <c r="F13" s="540"/>
      <c r="G13" s="540"/>
      <c r="H13" s="540"/>
      <c r="J13" s="538"/>
      <c r="K13" s="538"/>
      <c r="L13" s="538"/>
      <c r="M13" s="538"/>
      <c r="N13" s="538"/>
    </row>
    <row r="14" spans="1:19">
      <c r="C14" s="540"/>
      <c r="D14" s="184">
        <v>43</v>
      </c>
      <c r="E14" s="596" t="str">
        <f>VLOOKUP(D14,Materials[],2)</f>
        <v>Aluminum</v>
      </c>
      <c r="F14" s="596"/>
      <c r="G14" s="540">
        <f>LOOKUP(D14,Materials[[#All],[Refe-rence]],Materials[[#All],[Molar mass (g/mol)]])</f>
        <v>26.98</v>
      </c>
      <c r="H14" s="540" t="s">
        <v>633</v>
      </c>
      <c r="J14" s="538"/>
      <c r="K14" s="538" t="s">
        <v>2233</v>
      </c>
      <c r="L14" s="184">
        <v>1.1000000000000001</v>
      </c>
      <c r="M14" s="538" t="s">
        <v>1820</v>
      </c>
      <c r="N14" s="538"/>
    </row>
    <row r="15" spans="1:19">
      <c r="C15" s="540"/>
      <c r="D15" s="540" t="s">
        <v>4</v>
      </c>
      <c r="E15" s="185">
        <v>28.274873614576169</v>
      </c>
      <c r="F15" s="540" t="s">
        <v>1</v>
      </c>
      <c r="G15" s="540"/>
      <c r="H15" s="540"/>
      <c r="J15" s="538"/>
      <c r="K15" s="538" t="s">
        <v>5</v>
      </c>
      <c r="L15" s="184">
        <v>9.5</v>
      </c>
      <c r="M15" s="538" t="s">
        <v>2</v>
      </c>
      <c r="N15" s="538"/>
      <c r="Q15" t="s">
        <v>2227</v>
      </c>
    </row>
    <row r="16" spans="1:19">
      <c r="C16" s="540"/>
      <c r="D16" s="540"/>
      <c r="E16" s="540"/>
      <c r="F16" s="540"/>
      <c r="G16" s="540"/>
      <c r="H16" s="540"/>
      <c r="J16" s="538"/>
      <c r="K16" s="538"/>
      <c r="L16" s="538"/>
      <c r="M16" s="538"/>
      <c r="N16" s="538"/>
      <c r="Q16" t="s">
        <v>2084</v>
      </c>
      <c r="R16" s="167">
        <f>2/SQRT(PI())*COS(L20/4)^2*SIN(L20/4)^2*D19*E7</f>
        <v>142820.09416093037</v>
      </c>
      <c r="S16" t="s">
        <v>2224</v>
      </c>
    </row>
    <row r="17" spans="3:19">
      <c r="C17" s="540" t="s">
        <v>2223</v>
      </c>
      <c r="D17" s="1">
        <f>SUM(E11,E15)/(E11/238+E15/G14)</f>
        <v>65.104970296997692</v>
      </c>
      <c r="E17" s="540" t="s">
        <v>633</v>
      </c>
      <c r="F17" s="540"/>
      <c r="G17" s="540"/>
      <c r="H17" s="540"/>
      <c r="J17" s="538"/>
      <c r="K17" s="538" t="s">
        <v>2232</v>
      </c>
      <c r="L17" s="538"/>
      <c r="M17" s="538"/>
      <c r="N17" s="538"/>
      <c r="R17" s="167">
        <f>R16/9.8</f>
        <v>14573.478996013302</v>
      </c>
      <c r="S17" t="s">
        <v>988</v>
      </c>
    </row>
    <row r="18" spans="3:19">
      <c r="C18" s="540" t="s">
        <v>2225</v>
      </c>
      <c r="D18" s="540"/>
      <c r="E18" s="540"/>
      <c r="F18" s="540"/>
      <c r="G18" s="540"/>
      <c r="H18" s="540"/>
      <c r="J18" s="538"/>
      <c r="K18" s="538"/>
      <c r="L18" s="167">
        <f>J12/L14</f>
        <v>4700.9090909090901</v>
      </c>
      <c r="M18" s="538" t="s">
        <v>21</v>
      </c>
      <c r="N18" s="538"/>
    </row>
    <row r="19" spans="3:19">
      <c r="C19" s="540"/>
      <c r="D19" s="176">
        <f>SQRT(2*G10/SUM(E11,E15))</f>
        <v>347251.76966356463</v>
      </c>
      <c r="E19" s="540" t="s">
        <v>2224</v>
      </c>
      <c r="F19" s="540"/>
      <c r="G19" s="540"/>
      <c r="H19" s="540"/>
      <c r="J19" s="538"/>
      <c r="K19" s="538"/>
      <c r="L19" s="538"/>
      <c r="M19" s="538"/>
      <c r="N19" s="538"/>
      <c r="R19" s="1"/>
    </row>
    <row r="20" spans="3:19">
      <c r="C20" s="540"/>
      <c r="D20" s="540"/>
      <c r="E20" s="540"/>
      <c r="F20" s="540"/>
      <c r="G20" s="540"/>
      <c r="H20" s="540"/>
      <c r="J20" s="538"/>
      <c r="K20" s="538" t="s">
        <v>2229</v>
      </c>
      <c r="L20" s="1">
        <f>ATAN(L15/D21)*2</f>
        <v>1.5427753269714293</v>
      </c>
      <c r="M20" s="538" t="s">
        <v>341</v>
      </c>
      <c r="N20" s="538"/>
      <c r="Q20" t="s">
        <v>2242</v>
      </c>
    </row>
    <row r="21" spans="3:19">
      <c r="C21" s="540" t="s">
        <v>2226</v>
      </c>
      <c r="D21" s="184">
        <v>9.77</v>
      </c>
      <c r="E21" s="540" t="s">
        <v>2</v>
      </c>
      <c r="F21" s="540" t="s">
        <v>2234</v>
      </c>
      <c r="G21" s="1">
        <f>(0.291*E7*G10/(L18*1000000))^(1/3)</f>
        <v>9.7694122793015055</v>
      </c>
      <c r="H21" s="540" t="s">
        <v>2235</v>
      </c>
      <c r="J21" s="538"/>
      <c r="K21" s="538"/>
      <c r="L21" s="1">
        <f>L20*180/PI()</f>
        <v>88.394514972378502</v>
      </c>
      <c r="M21" s="538" t="s">
        <v>757</v>
      </c>
      <c r="N21" s="538"/>
      <c r="R21" s="167">
        <f>R22*9.8005</f>
        <v>95770.009725063137</v>
      </c>
      <c r="S21" t="s">
        <v>2224</v>
      </c>
    </row>
    <row r="22" spans="3:19">
      <c r="C22" s="540"/>
      <c r="D22" s="540"/>
      <c r="E22" s="540"/>
      <c r="F22" s="540"/>
      <c r="G22" s="540"/>
      <c r="H22" s="540"/>
      <c r="J22" s="538"/>
      <c r="K22" s="538"/>
      <c r="L22" s="538"/>
      <c r="M22" s="538"/>
      <c r="N22" s="538"/>
      <c r="R22" s="167">
        <f>L31/(SUM(E11,E15,R10)*9.8)</f>
        <v>9771.9514029960865</v>
      </c>
      <c r="S22" t="s">
        <v>988</v>
      </c>
    </row>
    <row r="23" spans="3:19">
      <c r="C23" s="540" t="s">
        <v>1800</v>
      </c>
      <c r="D23" s="184">
        <v>1</v>
      </c>
      <c r="E23" s="540" t="s">
        <v>1801</v>
      </c>
      <c r="F23" s="540"/>
      <c r="G23" s="540"/>
      <c r="H23" s="540"/>
      <c r="J23" s="538"/>
      <c r="K23" s="538" t="s">
        <v>2230</v>
      </c>
      <c r="L23" s="538"/>
      <c r="M23" s="538"/>
      <c r="N23" s="538"/>
      <c r="R23" s="172"/>
    </row>
    <row r="24" spans="3:19">
      <c r="C24" s="540"/>
      <c r="D24" s="540"/>
      <c r="E24" s="540"/>
      <c r="F24" s="540"/>
      <c r="G24" s="540"/>
      <c r="H24" s="540"/>
      <c r="J24" s="538"/>
      <c r="K24" s="538"/>
      <c r="L24" s="181">
        <f>SIN(L20/4)^2*E7</f>
        <v>0.42458403410797296</v>
      </c>
      <c r="M24" s="538"/>
      <c r="N24" s="538"/>
      <c r="Q24" t="s">
        <v>2245</v>
      </c>
    </row>
    <row r="25" spans="3:19" ht="14.65" thickBot="1">
      <c r="H25" s="540"/>
      <c r="J25" s="538"/>
      <c r="K25" s="538"/>
      <c r="L25" s="1">
        <f>L24*SUM(E15,E11)</f>
        <v>35.357181779108345</v>
      </c>
      <c r="M25" s="538" t="s">
        <v>1</v>
      </c>
      <c r="N25" s="538"/>
      <c r="R25" s="172">
        <f>L31/(1/D23)</f>
        <v>11893325.290873341</v>
      </c>
      <c r="S25" t="s">
        <v>412</v>
      </c>
    </row>
    <row r="26" spans="3:19" ht="14.65" thickTop="1">
      <c r="C26" s="544" t="s">
        <v>2263</v>
      </c>
      <c r="D26" s="545"/>
      <c r="E26" s="545"/>
      <c r="F26" s="545"/>
      <c r="G26" s="546"/>
      <c r="H26" s="540"/>
      <c r="J26" s="538"/>
      <c r="K26" s="538"/>
      <c r="L26" s="538"/>
      <c r="M26" s="538"/>
      <c r="N26" s="538"/>
      <c r="R26" s="167">
        <f>R25/(1000*9.8)</f>
        <v>1213.604621517688</v>
      </c>
      <c r="S26" t="s">
        <v>2246</v>
      </c>
    </row>
    <row r="27" spans="3:19">
      <c r="C27" s="547" t="s">
        <v>2260</v>
      </c>
      <c r="D27" s="418">
        <v>1179</v>
      </c>
      <c r="E27" s="548" t="s">
        <v>2246</v>
      </c>
      <c r="F27" s="553">
        <f>D27*9.8*1000</f>
        <v>11554200</v>
      </c>
      <c r="G27" s="549" t="s">
        <v>412</v>
      </c>
      <c r="H27" s="540"/>
      <c r="J27" s="538"/>
      <c r="K27" s="538" t="s">
        <v>2231</v>
      </c>
      <c r="L27" s="538"/>
      <c r="M27" s="538"/>
      <c r="N27" s="538"/>
    </row>
    <row r="28" spans="3:19">
      <c r="C28" s="547" t="s">
        <v>2261</v>
      </c>
      <c r="D28" s="548">
        <f>0.00000000093*(F27^(4/3))</f>
        <v>2.4292345890716387</v>
      </c>
      <c r="E28" s="548" t="s">
        <v>1126</v>
      </c>
      <c r="F28" s="554">
        <f>D28*1000</f>
        <v>2429.2345890716388</v>
      </c>
      <c r="G28" s="549" t="s">
        <v>2110</v>
      </c>
      <c r="H28" s="540"/>
      <c r="J28" s="538"/>
      <c r="K28" s="538"/>
      <c r="L28" s="172">
        <f>0.291*G10/(D21)^3*E7</f>
        <v>4700060783.2186699</v>
      </c>
      <c r="M28" s="538" t="s">
        <v>575</v>
      </c>
      <c r="N28" s="538"/>
      <c r="Q28" t="s">
        <v>2259</v>
      </c>
    </row>
    <row r="29" spans="3:19" ht="14.65" thickBot="1">
      <c r="C29" s="550" t="s">
        <v>2262</v>
      </c>
      <c r="D29" s="555">
        <f>1/(530/(F27*(1+0.00283*F27^(1/3)))+0.0432*(1+0.00283*F27^(1/3))/(F27^(1/3)))</f>
        <v>2929.8079421892885</v>
      </c>
      <c r="E29" s="551" t="s">
        <v>988</v>
      </c>
      <c r="F29" s="551" t="s">
        <v>2267</v>
      </c>
      <c r="G29" s="552"/>
      <c r="J29" s="538"/>
      <c r="K29" s="538"/>
      <c r="L29" s="167">
        <f>L28/1000000</f>
        <v>4700.0607832186697</v>
      </c>
      <c r="M29" s="538" t="s">
        <v>21</v>
      </c>
      <c r="N29" s="538"/>
      <c r="R29" s="167">
        <f>(R25/3.6)/9.8005</f>
        <v>337095.19613152789</v>
      </c>
      <c r="S29" t="s">
        <v>1</v>
      </c>
    </row>
    <row r="30" spans="3:19" ht="14.65" thickTop="1">
      <c r="C30" s="543"/>
      <c r="D30" s="543"/>
      <c r="E30" s="543"/>
      <c r="F30" s="543"/>
      <c r="G30" s="543"/>
      <c r="J30" s="538"/>
      <c r="K30" s="538"/>
      <c r="L30" s="538"/>
      <c r="M30" s="538"/>
      <c r="N30" s="538"/>
      <c r="R30" s="1">
        <f>R29/1000</f>
        <v>337.09519613152787</v>
      </c>
      <c r="S30" t="s">
        <v>2110</v>
      </c>
    </row>
    <row r="31" spans="3:19">
      <c r="C31" s="543"/>
      <c r="D31" s="543"/>
      <c r="E31" s="543"/>
      <c r="F31" s="543"/>
      <c r="G31" s="543"/>
      <c r="J31" s="538"/>
      <c r="K31" s="538" t="s">
        <v>2236</v>
      </c>
      <c r="L31" s="172">
        <f>2/SQRT(PI())*SUM(E11,E15)*D19*SIN(L20/4)^2*COS(L20/4)^2*E7</f>
        <v>11893325.290873341</v>
      </c>
      <c r="M31" s="538" t="s">
        <v>2237</v>
      </c>
      <c r="N31" s="538"/>
    </row>
    <row r="32" spans="3:19">
      <c r="C32" s="543"/>
      <c r="D32" s="543"/>
      <c r="E32" s="543"/>
      <c r="F32" s="543"/>
      <c r="G32" s="543"/>
      <c r="R32" s="1"/>
    </row>
  </sheetData>
  <mergeCells count="6">
    <mergeCell ref="E14:F14"/>
    <mergeCell ref="P6:S6"/>
    <mergeCell ref="P7:S7"/>
    <mergeCell ref="A1:F1"/>
    <mergeCell ref="L11:N11"/>
    <mergeCell ref="L7:N7"/>
  </mergeCells>
  <dataValidations count="6">
    <dataValidation type="whole" operator="greaterThan" allowBlank="1" showInputMessage="1" showErrorMessage="1" sqref="K7 K11 D14" xr:uid="{CDABC478-BB8A-486F-9C67-3DA5CB132DA0}">
      <formula1>0</formula1>
    </dataValidation>
    <dataValidation type="decimal" operator="greaterThan" allowBlank="1" showInputMessage="1" showErrorMessage="1" sqref="L14" xr:uid="{69522128-91E9-4903-B7A3-EFA923135608}">
      <formula1>1</formula1>
    </dataValidation>
    <dataValidation type="decimal" operator="greaterThan" allowBlank="1" showInputMessage="1" showErrorMessage="1" sqref="L15 E10:E11 D21 D23" xr:uid="{63610119-63BB-4A0C-97D0-B8B80A0F86C4}">
      <formula1>0</formula1>
    </dataValidation>
    <dataValidation type="decimal" operator="greaterThanOrEqual" allowBlank="1" showInputMessage="1" showErrorMessage="1" sqref="E15" xr:uid="{808CDBBB-385B-4F2F-896B-A2051BB47DBD}">
      <formula1>0</formula1>
    </dataValidation>
    <dataValidation type="decimal" operator="greaterThanOrEqual" allowBlank="1" showInputMessage="1" showErrorMessage="1" sqref="M9" xr:uid="{499D5B9B-9433-49BD-80F8-C14B42476868}">
      <formula1>1</formula1>
    </dataValidation>
    <dataValidation type="decimal" allowBlank="1" showInputMessage="1" showErrorMessage="1" sqref="E7" xr:uid="{6E72EEF9-3FFF-49D9-AFA0-DB4B0EC9DAA3}">
      <formula1>1</formula1>
      <formula2>0.5/(SIN(L20/4)^2)</formula2>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6259" r:id="rId4" name="Button 3">
              <controlPr defaultSize="0" print="0" autoFill="0" autoPict="0" macro="[0]!OptimizePropellantMassForIsp">
                <anchor moveWithCells="1" sizeWithCells="1">
                  <from>
                    <xdr:col>5</xdr:col>
                    <xdr:colOff>638175</xdr:colOff>
                    <xdr:row>13</xdr:row>
                    <xdr:rowOff>171450</xdr:rowOff>
                  </from>
                  <to>
                    <xdr:col>8</xdr:col>
                    <xdr:colOff>9525</xdr:colOff>
                    <xdr:row>15</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178BF-777E-4E0B-9B9D-25A1956C3AE1}">
  <sheetPr>
    <tabColor theme="4"/>
  </sheetPr>
  <dimension ref="A1:V42"/>
  <sheetViews>
    <sheetView zoomScale="87" workbookViewId="0">
      <selection activeCell="L17" sqref="L17"/>
    </sheetView>
  </sheetViews>
  <sheetFormatPr defaultRowHeight="14.25"/>
  <cols>
    <col min="10" max="10" width="9.06640625" style="573"/>
    <col min="20" max="20" width="9.06640625" style="583"/>
    <col min="21" max="21" width="9.06640625" style="582"/>
  </cols>
  <sheetData>
    <row r="1" spans="1:22">
      <c r="A1" s="664" t="s">
        <v>2379</v>
      </c>
      <c r="B1" s="664"/>
      <c r="C1" s="664"/>
      <c r="D1" s="664"/>
      <c r="E1" s="664"/>
      <c r="F1" s="664"/>
      <c r="G1" s="664"/>
      <c r="H1" s="664"/>
    </row>
    <row r="2" spans="1:22">
      <c r="I2" s="171" t="s">
        <v>2380</v>
      </c>
      <c r="J2" s="573" t="s">
        <v>2381</v>
      </c>
      <c r="S2" s="616" t="s">
        <v>2376</v>
      </c>
      <c r="T2" s="660">
        <f>G25-E10/TAN(J6)</f>
        <v>277.10104592759342</v>
      </c>
      <c r="U2" s="596" t="s">
        <v>12</v>
      </c>
    </row>
    <row r="3" spans="1:22">
      <c r="J3" s="573" t="s">
        <v>2382</v>
      </c>
      <c r="S3" s="616"/>
      <c r="T3" s="660"/>
      <c r="U3" s="596"/>
    </row>
    <row r="4" spans="1:22" s="587" customFormat="1">
      <c r="S4" s="586"/>
      <c r="T4" s="589"/>
      <c r="U4" s="585"/>
    </row>
    <row r="5" spans="1:22">
      <c r="B5" t="s">
        <v>2346</v>
      </c>
      <c r="M5" t="str">
        <f>ROUND(E10/TAN(H6/2*PI()/180),1)&amp;"mm"</f>
        <v>126.4mm</v>
      </c>
      <c r="O5" s="167"/>
      <c r="S5" s="596" t="s">
        <v>2372</v>
      </c>
      <c r="T5" s="596"/>
      <c r="U5" s="596"/>
      <c r="V5" s="596"/>
    </row>
    <row r="6" spans="1:22">
      <c r="B6" s="184">
        <v>196</v>
      </c>
      <c r="C6" s="596" t="str">
        <f>LOOKUP(B6,Materials[Refe-rence],Materials[Material])&amp;"@"</f>
        <v>Beryllium Copper@</v>
      </c>
      <c r="D6" s="596"/>
      <c r="E6" s="184">
        <v>5</v>
      </c>
      <c r="F6" t="s">
        <v>2348</v>
      </c>
      <c r="G6" t="s">
        <v>2366</v>
      </c>
      <c r="H6" s="184">
        <v>40</v>
      </c>
      <c r="I6" t="s">
        <v>757</v>
      </c>
      <c r="J6" s="139">
        <f>H6/180*PI()/2</f>
        <v>0.3490658503988659</v>
      </c>
      <c r="K6" s="137" t="s">
        <v>642</v>
      </c>
      <c r="L6" t="s">
        <v>2354</v>
      </c>
      <c r="M6" t="s">
        <v>2355</v>
      </c>
      <c r="S6" s="596"/>
      <c r="T6" s="596"/>
      <c r="U6" s="596"/>
      <c r="V6" s="596"/>
    </row>
    <row r="7" spans="1:22">
      <c r="D7" s="171" t="s">
        <v>2367</v>
      </c>
      <c r="E7" s="184">
        <v>2</v>
      </c>
      <c r="G7" s="171" t="s">
        <v>2368</v>
      </c>
      <c r="H7" s="581">
        <f>E7*H6</f>
        <v>80</v>
      </c>
      <c r="I7" t="s">
        <v>757</v>
      </c>
      <c r="J7" s="139">
        <f>H7*PI()/180/2</f>
        <v>0.69813170079773179</v>
      </c>
      <c r="K7" s="137" t="s">
        <v>2378</v>
      </c>
      <c r="L7" s="579" t="s">
        <v>2352</v>
      </c>
      <c r="M7" s="573"/>
      <c r="S7" s="616" t="s">
        <v>2374</v>
      </c>
      <c r="T7" s="662" t="s">
        <v>2377</v>
      </c>
      <c r="U7" s="663" t="s">
        <v>2375</v>
      </c>
    </row>
    <row r="8" spans="1:22">
      <c r="L8" s="579" t="s">
        <v>2350</v>
      </c>
      <c r="S8" s="616"/>
      <c r="T8" s="662"/>
      <c r="U8" s="663"/>
    </row>
    <row r="9" spans="1:22">
      <c r="B9" t="s">
        <v>2347</v>
      </c>
      <c r="K9" s="165" t="str">
        <f>E10*2&amp;"mm"</f>
        <v>92mm</v>
      </c>
      <c r="L9" s="579" t="s">
        <v>2356</v>
      </c>
      <c r="M9" s="165" t="str">
        <f>H6&amp;"°"</f>
        <v>40°</v>
      </c>
      <c r="S9" s="580">
        <f>ROUNDUP((G25-E10/TAN(J6))/Diameter_of_Charge,0)</f>
        <v>4</v>
      </c>
      <c r="T9" s="590">
        <f t="shared" ref="T9:T33" si="0">(Diameter_of_Charge*S9-Cone_Length)/1000</f>
        <v>9.0898954072406585E-2</v>
      </c>
      <c r="U9" s="582">
        <f t="shared" ref="U9:U33" si="1">1.24*Point_Blank_Pen/(1+((S9-7)/14)^2)</f>
        <v>424.73604601889349</v>
      </c>
    </row>
    <row r="10" spans="1:22">
      <c r="B10" s="184">
        <v>2</v>
      </c>
      <c r="C10" s="658" t="str">
        <f>LOOKUP(B10,Explosive!J5:J29,Explosive!K5:K29)</f>
        <v>Octogen
HMX</v>
      </c>
      <c r="D10" s="666"/>
      <c r="E10" s="184">
        <v>46</v>
      </c>
      <c r="F10" s="581" t="s">
        <v>2349</v>
      </c>
      <c r="G10">
        <f>E10*2</f>
        <v>92</v>
      </c>
      <c r="H10" t="s">
        <v>2373</v>
      </c>
      <c r="L10" s="579" t="s">
        <v>2351</v>
      </c>
      <c r="S10" s="580">
        <f>S9+1</f>
        <v>5</v>
      </c>
      <c r="T10" s="590">
        <f t="shared" si="0"/>
        <v>0.18289895407240658</v>
      </c>
      <c r="U10" s="582">
        <f t="shared" si="1"/>
        <v>435.35444716936581</v>
      </c>
    </row>
    <row r="11" spans="1:22">
      <c r="B11" s="581"/>
      <c r="C11" s="581"/>
      <c r="D11" s="581"/>
      <c r="E11" s="581"/>
      <c r="F11" s="581"/>
      <c r="L11" s="579" t="s">
        <v>2353</v>
      </c>
      <c r="M11" s="573" t="s">
        <v>2355</v>
      </c>
      <c r="S11" s="580">
        <f t="shared" ref="S11:S33" si="2">S10+1</f>
        <v>6</v>
      </c>
      <c r="T11" s="590">
        <f t="shared" si="0"/>
        <v>0.27489895407240661</v>
      </c>
      <c r="U11" s="582">
        <f t="shared" si="1"/>
        <v>441.98421032422931</v>
      </c>
    </row>
    <row r="12" spans="1:22" s="576" customFormat="1">
      <c r="B12" s="581" t="s">
        <v>1621</v>
      </c>
      <c r="C12" s="581"/>
      <c r="D12" s="581"/>
      <c r="E12" s="581"/>
      <c r="F12" s="581"/>
      <c r="S12" s="580">
        <f t="shared" si="2"/>
        <v>7</v>
      </c>
      <c r="T12" s="590">
        <f t="shared" si="0"/>
        <v>0.36689895407240658</v>
      </c>
      <c r="U12" s="582">
        <f t="shared" si="1"/>
        <v>444.23923180547536</v>
      </c>
    </row>
    <row r="13" spans="1:22" s="581" customFormat="1">
      <c r="B13" s="184">
        <v>185</v>
      </c>
      <c r="C13" s="658" t="str">
        <f>LOOKUP(B13,Material!A:A,Material!B:B)</f>
        <v>Carbon Steel</v>
      </c>
      <c r="D13" s="659"/>
      <c r="N13" s="661" t="str">
        <f>ROUND(G25,1)&amp;"mm"</f>
        <v>403.5mm</v>
      </c>
      <c r="O13" s="596"/>
      <c r="S13" s="580">
        <f t="shared" si="2"/>
        <v>8</v>
      </c>
      <c r="T13" s="590">
        <f t="shared" si="0"/>
        <v>0.45889895407240661</v>
      </c>
      <c r="U13" s="582">
        <f t="shared" si="1"/>
        <v>441.98421032422931</v>
      </c>
    </row>
    <row r="14" spans="1:22">
      <c r="S14" s="580">
        <f t="shared" si="2"/>
        <v>9</v>
      </c>
      <c r="T14" s="590">
        <f t="shared" si="0"/>
        <v>0.55089895407240663</v>
      </c>
      <c r="U14" s="582">
        <f t="shared" si="1"/>
        <v>435.35444716936581</v>
      </c>
    </row>
    <row r="15" spans="1:22">
      <c r="B15" s="616" t="s">
        <v>2365</v>
      </c>
      <c r="C15" s="665">
        <f>LOOKUP(B10,Explosive!J5:J29,Explosive!Y5:Y29)</f>
        <v>9402.4697552350226</v>
      </c>
      <c r="D15" s="596" t="s">
        <v>2224</v>
      </c>
      <c r="F15" t="s">
        <v>2361</v>
      </c>
      <c r="G15" s="172">
        <f>E10/TAN(J6)/1000/LOOKUP(B10,Explosive!J5:J29,Explosive!AB5:AB29)</f>
        <v>4.032471188472977E-5</v>
      </c>
      <c r="H15" t="s">
        <v>988</v>
      </c>
      <c r="S15" s="580">
        <f t="shared" si="2"/>
        <v>10</v>
      </c>
      <c r="T15" s="590">
        <f t="shared" si="0"/>
        <v>0.6428989540724066</v>
      </c>
      <c r="U15" s="582">
        <f t="shared" si="1"/>
        <v>424.73604601889349</v>
      </c>
    </row>
    <row r="16" spans="1:22">
      <c r="B16" s="616"/>
      <c r="C16" s="665"/>
      <c r="D16" s="596"/>
      <c r="F16" s="578" t="s">
        <v>1437</v>
      </c>
      <c r="G16" s="126">
        <f>PI()*(E10/1000)^2/SIN(J6)*(E6/1000)*LOOKUP(B6,Material!A:A,Material!H:H)</f>
        <v>0.80161276822120586</v>
      </c>
      <c r="H16" s="578" t="s">
        <v>1</v>
      </c>
      <c r="K16" s="572" t="str">
        <f>ROUND(G21*1000,1)&amp;"g @"&amp;ROUND(C21,1)&amp;"m/s"</f>
        <v>707.8g @642.2m/s</v>
      </c>
      <c r="P16" s="572" t="str">
        <f>ROUND(G19*1000,1)&amp;"g @"&amp;ROUND(C19,1)&amp;"m/s"</f>
        <v>93.8g @10005.9m/s</v>
      </c>
      <c r="S16" s="580">
        <f t="shared" si="2"/>
        <v>11</v>
      </c>
      <c r="T16" s="590">
        <f t="shared" si="0"/>
        <v>0.73489895407240657</v>
      </c>
      <c r="U16" s="582">
        <f t="shared" si="1"/>
        <v>410.71174261260927</v>
      </c>
    </row>
    <row r="17" spans="2:21">
      <c r="S17" s="580">
        <f t="shared" si="2"/>
        <v>12</v>
      </c>
      <c r="T17" s="590">
        <f t="shared" si="0"/>
        <v>0.82689895407240654</v>
      </c>
      <c r="U17" s="582">
        <f t="shared" si="1"/>
        <v>393.98592504015005</v>
      </c>
    </row>
    <row r="18" spans="2:21">
      <c r="S18" s="580">
        <f t="shared" si="2"/>
        <v>13</v>
      </c>
      <c r="T18" s="590">
        <f t="shared" si="0"/>
        <v>0.91889895407240663</v>
      </c>
      <c r="U18" s="582">
        <f t="shared" si="1"/>
        <v>375.30555790462574</v>
      </c>
    </row>
    <row r="19" spans="2:21">
      <c r="B19" s="616" t="s">
        <v>2357</v>
      </c>
      <c r="C19" s="660">
        <f>C15*SIN(J7-J6)/COS(J6)*(_xlfn.CSC(J7)+_xlfn.COT(J7)+TAN((J7-J6)/2))</f>
        <v>10005.899319898141</v>
      </c>
      <c r="D19" s="596" t="s">
        <v>2224</v>
      </c>
      <c r="E19" s="576"/>
      <c r="F19" s="596" t="s">
        <v>2359</v>
      </c>
      <c r="G19" s="623">
        <f>G16-G21</f>
        <v>9.3770880796064993E-2</v>
      </c>
      <c r="H19" s="596" t="s">
        <v>1</v>
      </c>
      <c r="S19" s="580">
        <f t="shared" si="2"/>
        <v>14</v>
      </c>
      <c r="T19" s="590">
        <f t="shared" si="0"/>
        <v>1.0108989540724065</v>
      </c>
      <c r="U19" s="582">
        <f t="shared" si="1"/>
        <v>355.39138544438026</v>
      </c>
    </row>
    <row r="20" spans="2:21">
      <c r="B20" s="616"/>
      <c r="C20" s="660"/>
      <c r="D20" s="596"/>
      <c r="E20" s="576"/>
      <c r="F20" s="596"/>
      <c r="G20" s="623"/>
      <c r="H20" s="596"/>
      <c r="S20" s="580">
        <f t="shared" si="2"/>
        <v>15</v>
      </c>
      <c r="T20" s="590">
        <f t="shared" si="0"/>
        <v>1.1028989540724066</v>
      </c>
      <c r="U20" s="582">
        <f t="shared" si="1"/>
        <v>334.88803628412762</v>
      </c>
    </row>
    <row r="21" spans="2:21">
      <c r="B21" s="616" t="s">
        <v>2358</v>
      </c>
      <c r="C21" s="660">
        <f>C15*SIN(J7-J6)/COS(J6)*(_xlfn.CSC(J7)-_xlfn.COT(J7)-TAN((J7-J6)/2))</f>
        <v>642.15632996930754</v>
      </c>
      <c r="D21" s="596" t="s">
        <v>2224</v>
      </c>
      <c r="E21" s="576"/>
      <c r="F21" s="596" t="s">
        <v>2360</v>
      </c>
      <c r="G21" s="623">
        <f>G16/2*(1+COS(J7))</f>
        <v>0.70784188742514087</v>
      </c>
      <c r="H21" s="596" t="s">
        <v>1</v>
      </c>
      <c r="S21" s="580">
        <f t="shared" si="2"/>
        <v>16</v>
      </c>
      <c r="T21" s="590">
        <f t="shared" si="0"/>
        <v>1.1948989540724064</v>
      </c>
      <c r="U21" s="582">
        <f t="shared" si="1"/>
        <v>314.33534091650961</v>
      </c>
    </row>
    <row r="22" spans="2:21">
      <c r="B22" s="616"/>
      <c r="C22" s="660"/>
      <c r="D22" s="596"/>
      <c r="E22" s="576"/>
      <c r="F22" s="596"/>
      <c r="G22" s="623"/>
      <c r="H22" s="596"/>
      <c r="S22" s="580">
        <f t="shared" si="2"/>
        <v>17</v>
      </c>
      <c r="T22" s="590">
        <f t="shared" si="0"/>
        <v>1.2868989540724065</v>
      </c>
      <c r="U22" s="582">
        <f t="shared" si="1"/>
        <v>294.15841024957155</v>
      </c>
    </row>
    <row r="23" spans="2:21">
      <c r="S23" s="580">
        <f t="shared" si="2"/>
        <v>18</v>
      </c>
      <c r="T23" s="590">
        <f t="shared" si="0"/>
        <v>1.3788989540724064</v>
      </c>
      <c r="U23" s="582">
        <f t="shared" si="1"/>
        <v>274.67157550117719</v>
      </c>
    </row>
    <row r="24" spans="2:21">
      <c r="S24" s="580">
        <f t="shared" si="2"/>
        <v>19</v>
      </c>
      <c r="T24" s="590">
        <f t="shared" si="0"/>
        <v>1.4708989540724065</v>
      </c>
      <c r="U24" s="582">
        <f t="shared" si="1"/>
        <v>256.09085127609757</v>
      </c>
    </row>
    <row r="25" spans="2:21" ht="14.25" customHeight="1">
      <c r="B25" s="596" t="s">
        <v>2347</v>
      </c>
      <c r="C25" s="623">
        <f>PI()*(E10/1000)^2*(E10/1000)/TAN(H6/2*PI()/180)*(2/3+1)*LOOKUP(LOOKUP(B10,Explosive!J5:J29,Explosive!L5:L29),Material!A:A,Material!H:H)</f>
        <v>2.6744816125301463</v>
      </c>
      <c r="D25" s="596" t="s">
        <v>1</v>
      </c>
      <c r="E25" s="576"/>
      <c r="F25" s="576" t="s">
        <v>2362</v>
      </c>
      <c r="G25" s="584">
        <f>G15*C19*1000</f>
        <v>403.48500722250606</v>
      </c>
      <c r="H25" s="574" t="s">
        <v>12</v>
      </c>
      <c r="S25" s="580">
        <f t="shared" si="2"/>
        <v>20</v>
      </c>
      <c r="T25" s="590">
        <f t="shared" si="0"/>
        <v>1.5628989540724065</v>
      </c>
      <c r="U25" s="582">
        <f t="shared" si="1"/>
        <v>238.55038201061143</v>
      </c>
    </row>
    <row r="26" spans="2:21">
      <c r="B26" s="596"/>
      <c r="C26" s="623"/>
      <c r="D26" s="596"/>
      <c r="E26" s="576"/>
      <c r="F26" s="576" t="s">
        <v>2363</v>
      </c>
      <c r="G26" s="577">
        <f>SQRT(G19/LOOKUP(B6,Materials[[#All],[Refe-rence]],Materials[[#All],[Density (kg/m3)]])/(G25/1000)/PI())*1000</f>
        <v>2.9947113962961187</v>
      </c>
      <c r="H26" s="574" t="s">
        <v>12</v>
      </c>
      <c r="S26" s="580">
        <f t="shared" si="2"/>
        <v>21</v>
      </c>
      <c r="T26" s="590">
        <f t="shared" si="0"/>
        <v>1.6548989540724064</v>
      </c>
      <c r="U26" s="582">
        <f t="shared" si="1"/>
        <v>222.11961590273768</v>
      </c>
    </row>
    <row r="27" spans="2:21">
      <c r="S27" s="580">
        <f t="shared" si="2"/>
        <v>22</v>
      </c>
      <c r="T27" s="590">
        <f t="shared" si="0"/>
        <v>1.7468989540724065</v>
      </c>
      <c r="U27" s="582">
        <f t="shared" si="1"/>
        <v>206.81921480729969</v>
      </c>
    </row>
    <row r="28" spans="2:21">
      <c r="S28" s="580">
        <f t="shared" si="2"/>
        <v>23</v>
      </c>
      <c r="T28" s="590">
        <f t="shared" si="0"/>
        <v>1.8388989540724066</v>
      </c>
      <c r="U28" s="582">
        <f t="shared" si="1"/>
        <v>192.63471113688757</v>
      </c>
    </row>
    <row r="29" spans="2:21" ht="14.25" customHeight="1">
      <c r="B29" s="596" t="s">
        <v>2364</v>
      </c>
      <c r="C29" s="660">
        <f>SQRT(5*1000000*LOOKUP(B13,Materials[Refe-rence],Materials[Ultimate Tensile Strength (Mpa)])*(1.3^2/LOOKUP('Shaped Charge'!B13,Materials[Refe-rence],Materials[Density (kg/m3)])+2/LOOKUP('Shaped Charge'!B6,Materials[Refe-rence],Materials[Density (kg/m3)])))</f>
        <v>1305.8044075404605</v>
      </c>
      <c r="D29" s="596" t="s">
        <v>2224</v>
      </c>
      <c r="F29" s="616" t="s">
        <v>2370</v>
      </c>
      <c r="G29" s="616" t="s">
        <v>2371</v>
      </c>
      <c r="H29" s="660">
        <f>1.3^2*LOOKUP(B6,Materials[Refe-rence],Materials[Density (kg/m3)])*G25/(2*LOOKUP(B13,Materials[Refe-rence],Materials[Density (kg/m3)]))*(1-'Shaped Charge'!C29/'Shaped Charge'!C19)</f>
        <v>311.50361151434282</v>
      </c>
      <c r="I29" s="596" t="s">
        <v>12</v>
      </c>
      <c r="S29" s="580">
        <f t="shared" si="2"/>
        <v>24</v>
      </c>
      <c r="T29" s="590">
        <f t="shared" si="0"/>
        <v>1.9308989540724064</v>
      </c>
      <c r="U29" s="582">
        <f t="shared" si="1"/>
        <v>179.52760708015089</v>
      </c>
    </row>
    <row r="30" spans="2:21">
      <c r="B30" s="596"/>
      <c r="C30" s="660"/>
      <c r="D30" s="596"/>
      <c r="F30" s="616"/>
      <c r="G30" s="616"/>
      <c r="H30" s="660"/>
      <c r="I30" s="596"/>
      <c r="S30" s="580">
        <f t="shared" si="2"/>
        <v>25</v>
      </c>
      <c r="T30" s="590">
        <f t="shared" si="0"/>
        <v>2.0228989540724065</v>
      </c>
      <c r="U30" s="582">
        <f t="shared" si="1"/>
        <v>167.44401814206378</v>
      </c>
    </row>
    <row r="31" spans="2:21">
      <c r="F31" s="616"/>
      <c r="G31" s="596" t="s">
        <v>2369</v>
      </c>
      <c r="H31" s="660">
        <f>1/2*1.3^2*LOOKUP(B6,Materials[Refe-rence],Materials[Density (kg/m3)])/LOOKUP(B13,Materials[Refe-rence],Materials[Density (kg/m3)])*'Shaped Charge'!G25</f>
        <v>358.25744500441562</v>
      </c>
      <c r="I31" s="596" t="s">
        <v>12</v>
      </c>
      <c r="S31" s="580">
        <f t="shared" si="2"/>
        <v>26</v>
      </c>
      <c r="T31" s="590">
        <f t="shared" si="0"/>
        <v>2.1148989540724066</v>
      </c>
      <c r="U31" s="582">
        <f t="shared" si="1"/>
        <v>156.32116594950298</v>
      </c>
    </row>
    <row r="32" spans="2:21">
      <c r="F32" s="616"/>
      <c r="G32" s="596"/>
      <c r="H32" s="660"/>
      <c r="I32" s="596"/>
      <c r="S32" s="580">
        <f t="shared" si="2"/>
        <v>27</v>
      </c>
      <c r="T32" s="590">
        <f t="shared" si="0"/>
        <v>2.2068989540724067</v>
      </c>
      <c r="U32" s="582">
        <f t="shared" si="1"/>
        <v>146.092096365559</v>
      </c>
    </row>
    <row r="33" spans="2:21">
      <c r="J33" s="125"/>
      <c r="S33" s="580">
        <f t="shared" si="2"/>
        <v>28</v>
      </c>
      <c r="T33" s="590">
        <f t="shared" si="0"/>
        <v>2.2988989540724063</v>
      </c>
      <c r="U33" s="582">
        <f t="shared" si="1"/>
        <v>136.68899440168474</v>
      </c>
    </row>
    <row r="34" spans="2:21">
      <c r="B34" s="125"/>
      <c r="C34" s="588"/>
      <c r="J34" s="125"/>
    </row>
    <row r="35" spans="2:21" ht="14.25" customHeight="1">
      <c r="B35" s="125"/>
      <c r="C35" s="588"/>
      <c r="D35" s="575"/>
      <c r="E35" s="236"/>
      <c r="F35" s="236"/>
      <c r="G35" s="236"/>
      <c r="H35" s="236"/>
      <c r="I35" s="236"/>
      <c r="J35" s="236"/>
      <c r="K35" s="236"/>
      <c r="L35" s="236"/>
      <c r="M35" s="236"/>
      <c r="N35" s="236"/>
      <c r="O35" s="236"/>
      <c r="P35" s="236"/>
      <c r="Q35" s="236"/>
      <c r="R35" s="236"/>
    </row>
    <row r="36" spans="2:21">
      <c r="B36" s="125"/>
      <c r="C36" s="588"/>
      <c r="D36" s="245"/>
      <c r="E36" s="245"/>
      <c r="F36" s="245"/>
      <c r="G36" s="245"/>
      <c r="H36" s="245"/>
      <c r="I36" s="245"/>
      <c r="J36" s="245"/>
      <c r="K36" s="245"/>
      <c r="L36" s="245"/>
      <c r="M36" s="245"/>
      <c r="N36" s="245"/>
      <c r="O36" s="245"/>
      <c r="P36" s="245"/>
      <c r="Q36" s="245"/>
      <c r="R36" s="245"/>
    </row>
    <row r="37" spans="2:21">
      <c r="B37" s="125"/>
      <c r="C37" s="588"/>
      <c r="D37" s="1"/>
      <c r="E37" s="1"/>
      <c r="F37" s="1"/>
      <c r="G37" s="1"/>
      <c r="H37" s="1"/>
      <c r="I37" s="1"/>
      <c r="J37" s="1"/>
      <c r="K37" s="1"/>
      <c r="L37" s="1"/>
      <c r="M37" s="1"/>
      <c r="N37" s="1"/>
      <c r="O37" s="1"/>
      <c r="P37" s="1"/>
      <c r="Q37" s="1"/>
      <c r="R37" s="1"/>
    </row>
    <row r="38" spans="2:21">
      <c r="B38" s="125"/>
      <c r="J38"/>
    </row>
    <row r="39" spans="2:21">
      <c r="B39" s="125"/>
      <c r="J39"/>
    </row>
    <row r="40" spans="2:21">
      <c r="B40" s="125"/>
      <c r="J40"/>
    </row>
    <row r="41" spans="2:21">
      <c r="B41" s="125"/>
      <c r="J41"/>
    </row>
    <row r="42" spans="2:21">
      <c r="B42" s="125"/>
      <c r="J42"/>
    </row>
  </sheetData>
  <mergeCells count="40">
    <mergeCell ref="A1:H1"/>
    <mergeCell ref="C6:D6"/>
    <mergeCell ref="B15:B16"/>
    <mergeCell ref="C15:C16"/>
    <mergeCell ref="D15:D16"/>
    <mergeCell ref="C10:D10"/>
    <mergeCell ref="C13:D13"/>
    <mergeCell ref="H19:H20"/>
    <mergeCell ref="B25:B26"/>
    <mergeCell ref="D25:D26"/>
    <mergeCell ref="C25:C26"/>
    <mergeCell ref="F19:F20"/>
    <mergeCell ref="F21:F22"/>
    <mergeCell ref="B19:B20"/>
    <mergeCell ref="C19:C20"/>
    <mergeCell ref="B21:B22"/>
    <mergeCell ref="C21:C22"/>
    <mergeCell ref="D19:D20"/>
    <mergeCell ref="D21:D22"/>
    <mergeCell ref="S2:S3"/>
    <mergeCell ref="T2:T3"/>
    <mergeCell ref="U2:U3"/>
    <mergeCell ref="H31:H32"/>
    <mergeCell ref="G31:G32"/>
    <mergeCell ref="I31:I32"/>
    <mergeCell ref="I29:I30"/>
    <mergeCell ref="H29:H30"/>
    <mergeCell ref="N13:O13"/>
    <mergeCell ref="S5:V6"/>
    <mergeCell ref="S7:S8"/>
    <mergeCell ref="T7:T8"/>
    <mergeCell ref="U7:U8"/>
    <mergeCell ref="G21:G22"/>
    <mergeCell ref="H21:H22"/>
    <mergeCell ref="G19:G20"/>
    <mergeCell ref="F29:F32"/>
    <mergeCell ref="B29:B30"/>
    <mergeCell ref="C29:C30"/>
    <mergeCell ref="D29:D30"/>
    <mergeCell ref="G29:G30"/>
  </mergeCells>
  <conditionalFormatting sqref="U9:U33">
    <cfRule type="colorScale" priority="2">
      <colorScale>
        <cfvo type="min"/>
        <cfvo type="percentile" val="50"/>
        <cfvo type="max"/>
        <color rgb="FF63BE7B"/>
        <color rgb="FFFFEB84"/>
        <color rgb="FFF8696B"/>
      </colorScale>
    </cfRule>
  </conditionalFormatting>
  <dataValidations count="4">
    <dataValidation type="custom" allowBlank="1" showInputMessage="1" showErrorMessage="1" sqref="H6" xr:uid="{4C5EBD68-3CA3-4DA0-A4E4-3CDB5A20E78B}">
      <formula1>H7&lt;=180</formula1>
    </dataValidation>
    <dataValidation type="custom" allowBlank="1" showInputMessage="1" showErrorMessage="1" sqref="E7" xr:uid="{8A22BF5B-F80C-45AD-8251-1F0938DF8545}">
      <formula1>H7&lt;=180</formula1>
    </dataValidation>
    <dataValidation type="whole" operator="greaterThan" allowBlank="1" showInputMessage="1" showErrorMessage="1" sqref="B6 B10 B13" xr:uid="{83627EE7-B1F5-4B6D-BC44-E12E177A2F59}">
      <formula1>0</formula1>
    </dataValidation>
    <dataValidation type="decimal" operator="greaterThan" allowBlank="1" showInputMessage="1" showErrorMessage="1" sqref="E10 E6" xr:uid="{ED9EBE6D-C557-436C-BBCE-92195DC6D0D0}">
      <formula1>0</formula1>
    </dataValidation>
  </dataValidations>
  <pageMargins left="0.7" right="0.7" top="0.75" bottom="0.75" header="0.3" footer="0.3"/>
  <pageSetup orientation="portrait" verticalDpi="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0803-E5BA-4756-A079-E3809567FAA7}">
  <sheetPr codeName="Sheet5">
    <tabColor theme="4"/>
  </sheetPr>
  <dimension ref="A2:R54"/>
  <sheetViews>
    <sheetView topLeftCell="A33" workbookViewId="0">
      <selection activeCell="G45" sqref="G45"/>
    </sheetView>
  </sheetViews>
  <sheetFormatPr defaultRowHeight="14.25"/>
  <cols>
    <col min="3" max="3" width="10.3984375" customWidth="1"/>
    <col min="6" max="6" width="12" customWidth="1"/>
    <col min="7" max="7" width="9.3984375" customWidth="1"/>
    <col min="9" max="10" width="9.06640625" customWidth="1"/>
    <col min="11" max="12" width="9.1328125" bestFit="1" customWidth="1"/>
    <col min="13" max="13" width="11.796875" bestFit="1" customWidth="1"/>
    <col min="14" max="14" width="10.1328125" customWidth="1"/>
    <col min="15" max="17" width="9.1328125" bestFit="1" customWidth="1"/>
  </cols>
  <sheetData>
    <row r="2" spans="1:18">
      <c r="A2" s="616" t="s">
        <v>1054</v>
      </c>
      <c r="B2" s="616"/>
      <c r="C2" s="616"/>
      <c r="E2" s="670" t="s">
        <v>983</v>
      </c>
      <c r="F2" s="670"/>
      <c r="G2" s="670"/>
    </row>
    <row r="3" spans="1:18">
      <c r="A3" s="616"/>
      <c r="B3" s="616"/>
      <c r="C3" s="616"/>
    </row>
    <row r="4" spans="1:18" s="127" customFormat="1">
      <c r="E4" s="128" t="s">
        <v>975</v>
      </c>
    </row>
    <row r="5" spans="1:18" s="127" customFormat="1">
      <c r="A5" s="669" t="s">
        <v>1065</v>
      </c>
      <c r="B5" s="669"/>
      <c r="C5" s="669"/>
      <c r="E5" s="57"/>
      <c r="F5" s="57" t="s">
        <v>905</v>
      </c>
      <c r="G5" s="531">
        <v>1.125</v>
      </c>
      <c r="I5" s="189" t="s">
        <v>1004</v>
      </c>
    </row>
    <row r="6" spans="1:18" s="127" customFormat="1">
      <c r="A6" s="669"/>
      <c r="B6" s="669"/>
      <c r="C6" s="669"/>
      <c r="E6" s="57"/>
      <c r="F6" s="57" t="s">
        <v>1028</v>
      </c>
      <c r="G6" s="531">
        <v>12</v>
      </c>
      <c r="H6" s="127" t="s">
        <v>1</v>
      </c>
      <c r="I6" s="243"/>
      <c r="J6" s="244" t="s">
        <v>1005</v>
      </c>
      <c r="K6" s="244" t="s">
        <v>742</v>
      </c>
      <c r="L6" s="244" t="s">
        <v>1007</v>
      </c>
      <c r="M6" s="244" t="s">
        <v>984</v>
      </c>
      <c r="N6" s="244" t="s">
        <v>1017</v>
      </c>
      <c r="O6" s="244" t="s">
        <v>997</v>
      </c>
      <c r="P6" s="244" t="s">
        <v>1022</v>
      </c>
      <c r="Q6" s="244" t="s">
        <v>1023</v>
      </c>
      <c r="R6" s="244" t="s">
        <v>1024</v>
      </c>
    </row>
    <row r="7" spans="1:18" s="127" customFormat="1">
      <c r="E7" s="57"/>
      <c r="F7" s="57" t="s">
        <v>991</v>
      </c>
      <c r="G7" s="531">
        <v>5</v>
      </c>
      <c r="H7" s="127" t="s">
        <v>1</v>
      </c>
      <c r="I7" s="244" t="str">
        <f>IF(G6&gt;I12,NA(),"Bare Core")</f>
        <v>Bare Core</v>
      </c>
      <c r="J7" s="279">
        <f>IF(G6&gt;I12,NA(),G6/C14)</f>
        <v>1.2</v>
      </c>
      <c r="K7" s="532">
        <f>(9/(16*$C$16))*(2^(2/3))*$C$21^2*($C$15*100)^2*(1-J7^(-2/3))^2*((J7)^(1/3)-1)^2</f>
        <v>9.7973194141991199E-5</v>
      </c>
      <c r="L7" s="279">
        <f>$C$17*$G$6*K7*1000/(4190000000000)</f>
        <v>2.0342321610232202E-2</v>
      </c>
      <c r="M7" s="279">
        <f>IF(G6&gt;I12,NA(),J23+N12+M12+G6+G7)</f>
        <v>135.84405542336185</v>
      </c>
      <c r="N7" s="279">
        <f>L7/M7</f>
        <v>1.4974760247575634E-4</v>
      </c>
      <c r="O7" s="533">
        <f>1-EXP((-$G$22*($G$23+$C$25*R7))*0.7)</f>
        <v>0.9454514436679432</v>
      </c>
      <c r="P7" s="279">
        <f>PI()*L12^2+2*J22*(G8*G20+J17)</f>
        <v>0.14873320226295966</v>
      </c>
      <c r="Q7" s="279">
        <f>PI()*L12^2</f>
        <v>8.6408964575109461E-3</v>
      </c>
      <c r="R7" s="279">
        <f>(P7*4+Q7*2)/6</f>
        <v>0.10203576699447675</v>
      </c>
    </row>
    <row r="8" spans="1:18" s="127" customFormat="1">
      <c r="E8" s="57"/>
      <c r="F8" s="57" t="s">
        <v>998</v>
      </c>
      <c r="G8" s="531">
        <v>6</v>
      </c>
      <c r="H8" s="127" t="s">
        <v>1002</v>
      </c>
      <c r="I8" s="244" t="str">
        <f>IF(G6&gt;I13,NA(),"Fe 1MFP")</f>
        <v>Fe 1MFP</v>
      </c>
      <c r="J8" s="279">
        <f>IF(ISNA(I8),NA(),G6/(C14/'A.W.M.'!W4))</f>
        <v>2.1360000000000001</v>
      </c>
      <c r="K8" s="532">
        <f>(9/(16*$C$16))*(2^(2/3))*$C$21^2*($C$15/('A.W.M.'!W4)^(1/3)*100)^2*(1-J8^(-2/3))^2*((J8)^(1/3)-1)^2</f>
        <v>1.6945131976587584E-2</v>
      </c>
      <c r="L8" s="279">
        <f>$C$17*$G$6*K8*1000/(4190000000000)</f>
        <v>3.5183432306596085</v>
      </c>
      <c r="M8" s="279">
        <f>IF(ISNA(I8),NA(),G6+J23+M13+N13+G7)</f>
        <v>161.34625549263831</v>
      </c>
      <c r="N8" s="279">
        <f>L8/M8</f>
        <v>2.1806165999434298E-2</v>
      </c>
      <c r="O8" s="667">
        <f>1-EXP((-$G$22*($G$23+$C$25*R8))*0.7)</f>
        <v>0.96114783256539293</v>
      </c>
      <c r="P8" s="668">
        <f>Q8+2*J22*(J17+G8*G20)</f>
        <v>0.16077818032342253</v>
      </c>
      <c r="Q8" s="668">
        <f>PI()*L13^2</f>
        <v>2.068587451797383E-2</v>
      </c>
      <c r="R8" s="668">
        <f>(P8*4+Q8*2)/6</f>
        <v>0.11408074505493963</v>
      </c>
    </row>
    <row r="9" spans="1:18">
      <c r="B9" t="s">
        <v>964</v>
      </c>
      <c r="F9" s="57" t="s">
        <v>1010</v>
      </c>
      <c r="G9" s="129">
        <v>0.99908415730447631</v>
      </c>
      <c r="H9" s="127"/>
      <c r="I9" s="244" t="str">
        <f>IF(G6&gt;I14,NA(),"Be 1MFP")</f>
        <v>Be 1MFP</v>
      </c>
      <c r="J9" s="279">
        <f>IF(ISNA(I9),NA(),G6/(C14/'A.W.M.'!W5))</f>
        <v>2.4</v>
      </c>
      <c r="K9" s="532">
        <f>(9/(16*$C$16))*(2^(2/3))*$C$21^2*($C$15/('A.W.M.'!W5)^(1/3)*100)^2*(1-J9^(-2/3))^2*((J9)^(1/3)-1)^2</f>
        <v>2.6939703312680661E-2</v>
      </c>
      <c r="L9" s="279">
        <f>$C$17*$G$6*K9*1000/(4190000000000)</f>
        <v>5.5935311048097072</v>
      </c>
      <c r="M9" s="279">
        <f>IF(ISNA(I9),NA(),G6+G7+J23+M14+N13)</f>
        <v>151.75231555675373</v>
      </c>
      <c r="N9" s="279">
        <f>L9/M9</f>
        <v>3.6859609583471474E-2</v>
      </c>
      <c r="O9" s="667"/>
      <c r="P9" s="668"/>
      <c r="Q9" s="668"/>
      <c r="R9" s="668"/>
    </row>
    <row r="10" spans="1:18" s="127" customFormat="1">
      <c r="B10" s="184">
        <v>3</v>
      </c>
      <c r="C10" t="str">
        <f>LOOKUP(B10,'A.W.M.'!A:A,'A.W.M.'!B:B)</f>
        <v>Pu-239</v>
      </c>
      <c r="E10" s="127" t="s">
        <v>1016</v>
      </c>
      <c r="G10"/>
      <c r="H10"/>
    </row>
    <row r="11" spans="1:18">
      <c r="F11" s="534" t="s">
        <v>996</v>
      </c>
      <c r="G11" s="244" t="s">
        <v>976</v>
      </c>
      <c r="H11" s="244"/>
      <c r="I11" s="244"/>
      <c r="J11" s="244"/>
      <c r="K11" s="244" t="s">
        <v>1014</v>
      </c>
      <c r="L11" s="244" t="s">
        <v>1015</v>
      </c>
      <c r="M11" s="244" t="s">
        <v>1019</v>
      </c>
      <c r="N11" s="244" t="s">
        <v>1020</v>
      </c>
    </row>
    <row r="12" spans="1:18" ht="14.25" customHeight="1">
      <c r="B12" t="s">
        <v>967</v>
      </c>
      <c r="C12" s="1">
        <f>LOOKUP(B10,'A.W.M.'!A:A,'A.W.M.'!K:K)</f>
        <v>19.86</v>
      </c>
      <c r="D12" t="s">
        <v>968</v>
      </c>
      <c r="F12" s="244" t="s">
        <v>977</v>
      </c>
      <c r="G12" s="244">
        <v>3.15</v>
      </c>
      <c r="H12" s="614" t="s">
        <v>980</v>
      </c>
      <c r="I12" s="244">
        <f>G12*$C$14</f>
        <v>31.5</v>
      </c>
      <c r="J12" s="613" t="s">
        <v>1</v>
      </c>
      <c r="K12" s="668">
        <f>(G6/(C12*1000)*0.75/PI())^(1/3)</f>
        <v>5.2445045217982503E-2</v>
      </c>
      <c r="L12" s="279">
        <f>K12</f>
        <v>5.2445045217982503E-2</v>
      </c>
      <c r="M12" s="244">
        <v>0</v>
      </c>
      <c r="N12" s="279">
        <f>1.5*$J$21*1000000000*4/3*PI()*L12^3*7700/(3000000000)</f>
        <v>4.7786699724511639</v>
      </c>
    </row>
    <row r="13" spans="1:18">
      <c r="B13" t="s">
        <v>372</v>
      </c>
      <c r="C13">
        <f>LOOKUP(Nuke!B10,'A.W.M.'!A:A,'A.W.M.'!C:C)</f>
        <v>1.5</v>
      </c>
      <c r="F13" s="244" t="s">
        <v>978</v>
      </c>
      <c r="G13" s="244">
        <v>4.51</v>
      </c>
      <c r="H13" s="614"/>
      <c r="I13" s="279">
        <f>G13*$C$14/'A.W.M.'!W4</f>
        <v>25.337078651685388</v>
      </c>
      <c r="J13" s="613"/>
      <c r="K13" s="668"/>
      <c r="L13" s="668">
        <f>K12+C18/100</f>
        <v>8.1145045217982506E-2</v>
      </c>
      <c r="M13" s="279">
        <f>4/3*PI()*(L13^3-K12^3)*7700</f>
        <v>12.580609248350035</v>
      </c>
      <c r="N13" s="668">
        <f>1.5*$J$21*1000000000*4/3*PI()*L13^3*7700/(3000000000)</f>
        <v>17.700260793377595</v>
      </c>
    </row>
    <row r="14" spans="1:18">
      <c r="B14" t="s">
        <v>971</v>
      </c>
      <c r="C14" s="1">
        <f>LOOKUP(B10,'A.W.M.'!A:A,'A.W.M.'!N:N)</f>
        <v>10</v>
      </c>
      <c r="D14" t="s">
        <v>1</v>
      </c>
      <c r="F14" s="244" t="s">
        <v>979</v>
      </c>
      <c r="G14" s="244">
        <v>4.88</v>
      </c>
      <c r="H14" s="614"/>
      <c r="I14" s="244">
        <f>G14*$C$14/'A.W.M.'!W5</f>
        <v>24.4</v>
      </c>
      <c r="J14" s="613"/>
      <c r="K14" s="668"/>
      <c r="L14" s="668"/>
      <c r="M14" s="279">
        <f>4/3*PI()*(L13^3-K12^3)*1828</f>
        <v>2.9866693124654371</v>
      </c>
      <c r="N14" s="668"/>
    </row>
    <row r="15" spans="1:18">
      <c r="B15" t="s">
        <v>985</v>
      </c>
      <c r="C15" s="18">
        <f>(C14/(C12*1000)*3/4/PI())^(1/3)</f>
        <v>4.9352677086416254E-2</v>
      </c>
      <c r="D15" t="s">
        <v>2</v>
      </c>
      <c r="F15" s="127"/>
      <c r="G15" s="127"/>
      <c r="H15" s="127"/>
      <c r="I15" s="127"/>
      <c r="J15" s="127"/>
    </row>
    <row r="16" spans="1:18">
      <c r="B16" t="s">
        <v>972</v>
      </c>
      <c r="C16" s="16">
        <f>LOOKUP(B10,'A.W.M.'!A:A,'A.W.M.'!O:O)</f>
        <v>7.2498E+17</v>
      </c>
      <c r="D16" t="s">
        <v>973</v>
      </c>
      <c r="F16" s="105" t="s">
        <v>982</v>
      </c>
      <c r="I16" s="105" t="s">
        <v>1000</v>
      </c>
      <c r="J16" t="s">
        <v>216</v>
      </c>
    </row>
    <row r="17" spans="2:15">
      <c r="C17" s="16">
        <f>C16*0.0000001</f>
        <v>72498000000</v>
      </c>
      <c r="D17" t="s">
        <v>1008</v>
      </c>
      <c r="F17" t="s">
        <v>4</v>
      </c>
      <c r="G17" s="1">
        <f>C14/G5</f>
        <v>8.8888888888888893</v>
      </c>
      <c r="H17" t="s">
        <v>1</v>
      </c>
      <c r="I17" t="s">
        <v>1001</v>
      </c>
      <c r="J17" s="1">
        <f>(G7/1480)/(PI()*G20^2)/G9</f>
        <v>0.47800957333392691</v>
      </c>
      <c r="K17" t="s">
        <v>2</v>
      </c>
      <c r="L17" s="132"/>
    </row>
    <row r="18" spans="2:15" ht="14.25" customHeight="1">
      <c r="B18" t="s">
        <v>974</v>
      </c>
      <c r="C18">
        <f>LOOKUP(B10,'A.W.M.'!A:A,'A.W.M.'!I:I)</f>
        <v>2.87</v>
      </c>
      <c r="D18" t="s">
        <v>748</v>
      </c>
      <c r="L18" s="131"/>
      <c r="M18" s="131"/>
      <c r="N18" s="131"/>
      <c r="O18" s="131"/>
    </row>
    <row r="19" spans="2:15">
      <c r="B19" t="s">
        <v>987</v>
      </c>
      <c r="C19" s="16">
        <f>LOOKUP(B10,'A.W.M.'!A:A,'A.W.M.'!M:M)*0.000000001</f>
        <v>2.86E-9</v>
      </c>
      <c r="D19" t="s">
        <v>988</v>
      </c>
      <c r="F19" s="105" t="s">
        <v>999</v>
      </c>
      <c r="I19" s="105"/>
    </row>
    <row r="20" spans="2:15">
      <c r="B20" t="s">
        <v>989</v>
      </c>
      <c r="C20" s="1">
        <f>LOOKUP(B10,'A.W.M.'!A:A,'A.W.M.'!P:P)</f>
        <v>10.1</v>
      </c>
      <c r="D20" t="s">
        <v>992</v>
      </c>
      <c r="F20" t="s">
        <v>1003</v>
      </c>
      <c r="G20" s="1">
        <f>C15/(G5)^(1/3)</f>
        <v>4.745258488093608E-2</v>
      </c>
      <c r="H20" t="s">
        <v>2</v>
      </c>
      <c r="I20" s="105" t="s">
        <v>1013</v>
      </c>
      <c r="J20" s="16"/>
      <c r="K20" s="127"/>
    </row>
    <row r="21" spans="2:15">
      <c r="B21" t="s">
        <v>1006</v>
      </c>
      <c r="C21" s="16">
        <f>LOOKUP(B10,'A.W.M.'!A:A,'A.W.M.'!L:L)/0.000001</f>
        <v>252000000</v>
      </c>
      <c r="D21" t="s">
        <v>993</v>
      </c>
      <c r="F21" t="s">
        <v>986</v>
      </c>
      <c r="G21" s="1">
        <f>SQRT(2*G7/G6)*SQRT(5447387.76*(1-((J17)/(J17+G8*G20))^0.25))</f>
        <v>707.45084914101699</v>
      </c>
      <c r="H21" t="s">
        <v>16</v>
      </c>
      <c r="I21" s="127" t="s">
        <v>1009</v>
      </c>
      <c r="J21" s="1">
        <f>(1+G7/(2*G17))*G17/(PI()*G20^2)*(4*M21^2/(27*M22))/1000000000</f>
        <v>2.0542074816640721</v>
      </c>
      <c r="K21" t="s">
        <v>1011</v>
      </c>
      <c r="L21" s="74" t="s">
        <v>383</v>
      </c>
      <c r="M21" s="81">
        <f>SQRT(G7/G17*2)*2334.1</f>
        <v>2475.6869069512804</v>
      </c>
    </row>
    <row r="22" spans="2:15">
      <c r="B22" t="s">
        <v>1047</v>
      </c>
      <c r="C22">
        <f>LOOKUP(B10,'A.W.M.'!A:A,'A.W.M.'!Q:Q)</f>
        <v>50</v>
      </c>
      <c r="F22" t="s">
        <v>995</v>
      </c>
      <c r="G22" s="16">
        <f>G8*G20/G21</f>
        <v>4.0245270697083276E-4</v>
      </c>
      <c r="H22" t="s">
        <v>988</v>
      </c>
      <c r="I22" t="s">
        <v>1012</v>
      </c>
      <c r="J22" s="1">
        <f>EXP(J21/(3.5/G5))*G20</f>
        <v>9.1836697781268892E-2</v>
      </c>
      <c r="K22" t="s">
        <v>2</v>
      </c>
      <c r="L22" s="74" t="s">
        <v>293</v>
      </c>
      <c r="M22" s="81">
        <f>148000*(1-G9)*(J17*PI()*G20^2/G17)^(2/3)</f>
        <v>0.71163138597926034</v>
      </c>
    </row>
    <row r="23" spans="2:15" s="127" customFormat="1">
      <c r="F23" t="s">
        <v>994</v>
      </c>
      <c r="G23" s="16">
        <f>G6*C20</f>
        <v>121.19999999999999</v>
      </c>
      <c r="H23" t="s">
        <v>993</v>
      </c>
      <c r="I23" t="s">
        <v>1018</v>
      </c>
      <c r="J23" s="1">
        <f>PI()*(J22^2-G20^2)*(J17+G8*G20)*7700</f>
        <v>114.06538545091068</v>
      </c>
      <c r="K23" t="s">
        <v>1</v>
      </c>
      <c r="L23" s="74" t="s">
        <v>890</v>
      </c>
      <c r="M23" s="74">
        <f>M21*G20*G8/(G8*G20+M22)-G21</f>
        <v>1.455530536986771E-6</v>
      </c>
    </row>
    <row r="24" spans="2:15">
      <c r="B24" t="s">
        <v>1021</v>
      </c>
    </row>
    <row r="25" spans="2:15">
      <c r="B25" t="s">
        <v>1025</v>
      </c>
      <c r="C25" s="186">
        <v>100000</v>
      </c>
      <c r="D25" t="s">
        <v>1026</v>
      </c>
    </row>
    <row r="26" spans="2:15">
      <c r="F26" s="127"/>
      <c r="G26" s="127"/>
      <c r="H26" s="127"/>
    </row>
    <row r="27" spans="2:15">
      <c r="B27" t="s">
        <v>1062</v>
      </c>
      <c r="C27" t="s">
        <v>1061</v>
      </c>
      <c r="F27" s="127"/>
      <c r="G27" s="127"/>
      <c r="H27" s="127"/>
    </row>
    <row r="28" spans="2:15">
      <c r="B28" t="s">
        <v>961</v>
      </c>
      <c r="C28" s="16">
        <v>25000000000</v>
      </c>
      <c r="D28" t="s">
        <v>1026</v>
      </c>
      <c r="F28" s="127"/>
      <c r="G28" s="127"/>
      <c r="H28" s="135"/>
    </row>
    <row r="29" spans="2:15">
      <c r="B29" t="s">
        <v>1027</v>
      </c>
      <c r="C29" s="16">
        <f>3.5*C28</f>
        <v>87500000000</v>
      </c>
      <c r="D29" s="130" t="s">
        <v>1026</v>
      </c>
      <c r="F29" s="127"/>
      <c r="G29" s="127"/>
      <c r="H29" s="135"/>
    </row>
    <row r="30" spans="2:15">
      <c r="F30" s="127"/>
      <c r="G30" s="127"/>
      <c r="H30" s="135"/>
      <c r="I30" s="1"/>
      <c r="J30" s="136"/>
    </row>
    <row r="31" spans="2:15">
      <c r="E31" s="133" t="s">
        <v>1037</v>
      </c>
    </row>
    <row r="32" spans="2:15">
      <c r="F32" s="57" t="s">
        <v>905</v>
      </c>
      <c r="G32" s="412">
        <v>1.0125</v>
      </c>
      <c r="I32" s="105" t="s">
        <v>1004</v>
      </c>
    </row>
    <row r="33" spans="5:17">
      <c r="F33" s="57" t="s">
        <v>1028</v>
      </c>
      <c r="G33" s="412">
        <v>3</v>
      </c>
      <c r="H33" t="s">
        <v>1</v>
      </c>
      <c r="I33" s="244"/>
      <c r="J33" s="244" t="s">
        <v>1069</v>
      </c>
      <c r="K33" s="535" t="s">
        <v>1052</v>
      </c>
      <c r="L33" s="244" t="s">
        <v>742</v>
      </c>
      <c r="M33" s="244" t="s">
        <v>1007</v>
      </c>
      <c r="N33" s="244" t="s">
        <v>1056</v>
      </c>
      <c r="O33" s="244" t="s">
        <v>1063</v>
      </c>
      <c r="P33" s="244" t="s">
        <v>997</v>
      </c>
      <c r="Q33" s="244" t="s">
        <v>1024</v>
      </c>
    </row>
    <row r="34" spans="5:17">
      <c r="F34" t="s">
        <v>1036</v>
      </c>
      <c r="G34" s="184">
        <v>21</v>
      </c>
      <c r="H34" t="s">
        <v>1</v>
      </c>
      <c r="I34" s="244" t="str">
        <f>IF(I39&gt;G33,"Bare core",NA())</f>
        <v>Bare core</v>
      </c>
      <c r="J34" s="279">
        <f>IF(ISNA(I34),NA(),SQRT(G39/$G$33))</f>
        <v>1.8257418583505538</v>
      </c>
      <c r="K34" s="279">
        <f>IF(($I$51/J34)&lt;1,NA(),$I$51/J34)</f>
        <v>1.1259153692830517</v>
      </c>
      <c r="L34" s="532">
        <f>MIN((9/(16*$C$16))*$G$52^2*$C$15^2*K34^2*(1-(K34)^(-4/3))^2*((1/K34)^(1/3)-(1/K34))^2,1)</f>
        <v>2.2847072177064984E-5</v>
      </c>
      <c r="M34" s="279">
        <f>L34*$C$17*$G$33*1000/(4190000000000)</f>
        <v>1.185942987130924E-3</v>
      </c>
      <c r="N34" s="244">
        <f>G33+G34+O39</f>
        <v>24</v>
      </c>
      <c r="O34" s="279">
        <f>M34/N34</f>
        <v>4.941429113045517E-5</v>
      </c>
      <c r="P34" s="533">
        <f>IF(J34&gt;$I$51,NA(),IF(J34&lt;1,1,1-EXP((-$G$53*($G$54+$C$25*PI()*L39^2))*0.7)))</f>
        <v>2.8729505270800315E-3</v>
      </c>
      <c r="Q34" s="279">
        <f>PI()*P39^2</f>
        <v>7.0732128662352914E-2</v>
      </c>
    </row>
    <row r="35" spans="5:17">
      <c r="I35" s="244" t="str">
        <f>IF(I40&gt;G33,"U/WC 1MFP",NA())</f>
        <v>U/WC 1MFP</v>
      </c>
      <c r="J35" s="279">
        <f>IF(ISNA(I35),NA(),SQRT(G40/$G$33))</f>
        <v>1.3684513787599333</v>
      </c>
      <c r="K35" s="279">
        <f>IF(($I$51/J35)&lt;1,NA(),$I$51/J35)</f>
        <v>1.5021584621611221</v>
      </c>
      <c r="L35" s="532">
        <f>MIN((9/(16*$C$16))*$G$52^2*$C$15^2*K35^2*(1-(K35)^(-4/3))^2*((1/K35)^(1/3)-(1/K35))^2,1)</f>
        <v>2.6865368158317704E-3</v>
      </c>
      <c r="M35" s="279">
        <f>L35*$C$17*$G$33*1000/(4190000000000)</f>
        <v>0.13945241962351196</v>
      </c>
      <c r="N35" s="279">
        <f>G33+G34+O40</f>
        <v>30.426888280009027</v>
      </c>
      <c r="O35" s="279">
        <f>M35/N35</f>
        <v>4.5831968862597924E-3</v>
      </c>
      <c r="P35" s="533">
        <f>IF(J35&gt;$I$51,NA(),IF(J35&lt;1,1,1-EXP((-$G$53*($G$54+$C$25*PI()*L40^2))*0.7)))</f>
        <v>2.8729505270800315E-3</v>
      </c>
      <c r="Q35" s="536">
        <f>PI()*P40^2</f>
        <v>7.3486772628266916E-2</v>
      </c>
    </row>
    <row r="36" spans="5:17">
      <c r="I36" s="244" t="str">
        <f>IF(I41&gt;G33,"Be 1MFP",NA())</f>
        <v>Be 1MFP</v>
      </c>
      <c r="J36" s="279">
        <f>IF(ISNA(I36),NA(),SQRT(G41/$G$33))</f>
        <v>1.2909944487358056</v>
      </c>
      <c r="K36" s="279">
        <f>IF(($I$51/J36)&lt;1,NA(),$I$51/J36)</f>
        <v>1.5922847853244033</v>
      </c>
      <c r="L36" s="532">
        <f>MIN((9/(16*$C$16))*$G$52^2*$C$15^2*K36^2*(1-(K36)^(-4/3))^2*((1/K36)^(1/3)-(1/K36))^2,1)</f>
        <v>4.4552572058496288E-3</v>
      </c>
      <c r="M36" s="279">
        <f>L36*$C$17*$G$33*1000/(4190000000000)</f>
        <v>0.23126293812149384</v>
      </c>
      <c r="N36" s="279">
        <f>G33+G34+O41</f>
        <v>25.525759970890455</v>
      </c>
      <c r="O36" s="279">
        <f>M36/N36</f>
        <v>9.0599824798644896E-3</v>
      </c>
      <c r="P36" s="533">
        <f>IF(J36&gt;$I$51,NA(),IF(J36&lt;1,1,1-EXP((-$G$53*($G$54+$C$25*PI()*L41^2))*0.7)))</f>
        <v>2.8729505270800315E-3</v>
      </c>
      <c r="Q36" s="536">
        <f>PI()*P40^2</f>
        <v>7.3486772628266916E-2</v>
      </c>
    </row>
    <row r="37" spans="5:17">
      <c r="E37" t="s">
        <v>1016</v>
      </c>
    </row>
    <row r="38" spans="5:17">
      <c r="F38" s="243" t="s">
        <v>1029</v>
      </c>
      <c r="G38" s="244"/>
      <c r="H38" s="244"/>
      <c r="I38" s="244" t="s">
        <v>1033</v>
      </c>
      <c r="J38" s="244"/>
      <c r="K38" s="243" t="s">
        <v>1057</v>
      </c>
      <c r="L38" s="244" t="s">
        <v>1014</v>
      </c>
      <c r="M38" s="244" t="s">
        <v>1070</v>
      </c>
      <c r="N38" s="244" t="s">
        <v>1058</v>
      </c>
      <c r="O38" s="244" t="s">
        <v>1019</v>
      </c>
      <c r="P38" s="244" t="s">
        <v>1059</v>
      </c>
    </row>
    <row r="39" spans="5:17">
      <c r="F39" s="244" t="s">
        <v>1030</v>
      </c>
      <c r="G39" s="279">
        <f>C14</f>
        <v>10</v>
      </c>
      <c r="H39" s="244" t="s">
        <v>1</v>
      </c>
      <c r="I39" s="279">
        <f>G39/$G$32</f>
        <v>9.8765432098765444</v>
      </c>
      <c r="J39" s="244" t="s">
        <v>1</v>
      </c>
      <c r="K39" s="244" t="s">
        <v>1030</v>
      </c>
      <c r="L39" s="536">
        <f>($G$33/($C$12*1000)*3/4/PI())^(1/3)</f>
        <v>3.3038308216412307E-2</v>
      </c>
      <c r="M39" s="536">
        <f>PI()*$L$39^2</f>
        <v>3.4291420316502914E-3</v>
      </c>
      <c r="N39" s="279">
        <f>L39</f>
        <v>3.3038308216412307E-2</v>
      </c>
      <c r="O39" s="244">
        <v>0</v>
      </c>
      <c r="P39" s="279">
        <f>(($G$34/1500)*0.75/PI()+N39^3)^(1/3)</f>
        <v>0.15004911137374588</v>
      </c>
      <c r="Q39" s="145"/>
    </row>
    <row r="40" spans="5:17">
      <c r="F40" s="244" t="s">
        <v>1031</v>
      </c>
      <c r="G40" s="279">
        <f>G39/'A.W.M.'!W4</f>
        <v>5.6179775280898872</v>
      </c>
      <c r="H40" s="244" t="s">
        <v>1</v>
      </c>
      <c r="I40" s="279">
        <f>G40/$G$32</f>
        <v>5.5486197808295188</v>
      </c>
      <c r="J40" s="244" t="s">
        <v>1</v>
      </c>
      <c r="K40" s="244" t="s">
        <v>1031</v>
      </c>
      <c r="L40" s="536">
        <f>($G$33/($C$12*1000)*3/4/PI())^(1/3)</f>
        <v>3.3038308216412307E-2</v>
      </c>
      <c r="M40" s="536">
        <f>PI()*$L$39^2</f>
        <v>3.4291420316502914E-3</v>
      </c>
      <c r="N40" s="536">
        <f>$L$39+$C$18/100</f>
        <v>6.173830821641231E-2</v>
      </c>
      <c r="O40" s="279">
        <f>4/3*PI()*(N40^3-L39^3)*7700</f>
        <v>6.4268882800090266</v>
      </c>
      <c r="P40" s="537">
        <f>(($G$34/1500)*0.75/PI()+N40^3)^(1/3)</f>
        <v>0.15294301628815141</v>
      </c>
      <c r="Q40" s="145"/>
    </row>
    <row r="41" spans="5:17">
      <c r="F41" s="244" t="s">
        <v>979</v>
      </c>
      <c r="G41" s="279">
        <f>G39/'A.W.M.'!W5</f>
        <v>5</v>
      </c>
      <c r="H41" s="244" t="s">
        <v>1</v>
      </c>
      <c r="I41" s="279">
        <f>G41/$G$32</f>
        <v>4.9382716049382722</v>
      </c>
      <c r="J41" s="244" t="s">
        <v>1</v>
      </c>
      <c r="K41" s="244" t="s">
        <v>979</v>
      </c>
      <c r="L41" s="536">
        <f>($G$33/($C$12*1000)*3/4/PI())^(1/3)</f>
        <v>3.3038308216412307E-2</v>
      </c>
      <c r="M41" s="536">
        <f>PI()*$L$39^2</f>
        <v>3.4291420316502914E-3</v>
      </c>
      <c r="N41" s="536">
        <f>$L$39+$C$18/100</f>
        <v>6.173830821641231E-2</v>
      </c>
      <c r="O41" s="279">
        <f>4/3*PI()*(N40^3-L39^3)*1828</f>
        <v>1.5257599708904546</v>
      </c>
      <c r="P41" s="537">
        <f>(($G$34/1500)*0.75/PI()+N41^3)^(1/3)</f>
        <v>0.15294301628815141</v>
      </c>
      <c r="Q41" s="145"/>
    </row>
    <row r="43" spans="5:17">
      <c r="F43" s="105" t="s">
        <v>1034</v>
      </c>
      <c r="J43" s="105"/>
    </row>
    <row r="44" spans="5:17">
      <c r="F44" t="s">
        <v>1038</v>
      </c>
      <c r="G44" s="16">
        <f>G34*5.49/100</f>
        <v>1.1529</v>
      </c>
      <c r="H44" t="s">
        <v>1040</v>
      </c>
    </row>
    <row r="45" spans="5:17">
      <c r="F45" t="s">
        <v>1039</v>
      </c>
      <c r="G45" s="86">
        <v>0.3</v>
      </c>
    </row>
    <row r="46" spans="5:17">
      <c r="F46" t="s">
        <v>1035</v>
      </c>
      <c r="G46" s="16">
        <f>G33/(C12*1000)</f>
        <v>1.5105740181268882E-4</v>
      </c>
      <c r="H46" t="s">
        <v>850</v>
      </c>
    </row>
    <row r="47" spans="5:17">
      <c r="F47" s="137" t="s">
        <v>1041</v>
      </c>
      <c r="G47" s="138">
        <f>G46-SQRT(G44*G45*G46/834.502)</f>
        <v>-9.9157840099838653E-5</v>
      </c>
      <c r="H47" s="137" t="s">
        <v>1044</v>
      </c>
      <c r="I47" s="138">
        <f>(1-1/G51)/0.00059916</f>
        <v>670.34436566967929</v>
      </c>
      <c r="J47" s="74"/>
      <c r="K47" s="16"/>
    </row>
    <row r="48" spans="5:17">
      <c r="F48" s="137" t="s">
        <v>1044</v>
      </c>
      <c r="G48" s="138">
        <v>3299.0338900574639</v>
      </c>
      <c r="H48" s="137" t="s">
        <v>890</v>
      </c>
      <c r="I48" s="138">
        <f>(18.1023-172.914*EXP(-G48/600)+0.686293*G48)*G46+(834.502*G46-1669*I49+834.502*I49^2/G46)-(G44*G45)</f>
        <v>-2.0538372919043368E-7</v>
      </c>
      <c r="J48" s="79"/>
    </row>
    <row r="49" spans="6:10">
      <c r="F49" s="137" t="s">
        <v>1041</v>
      </c>
      <c r="G49" s="138">
        <f>0.68632*G46+0.28819*EXP(-G48/600)*G46-0.000027021*G48*G46</f>
        <v>9.0386173695672955E-5</v>
      </c>
      <c r="H49" s="137" t="s">
        <v>1043</v>
      </c>
      <c r="I49" s="138">
        <f>0.9011386*G46</f>
        <v>1.3612365558912388E-4</v>
      </c>
      <c r="J49" s="74"/>
    </row>
    <row r="50" spans="6:10">
      <c r="F50" s="137" t="s">
        <v>1045</v>
      </c>
      <c r="G50" s="139">
        <f>SQRT(C22*1000000/C12)</f>
        <v>1586.7020399384421</v>
      </c>
      <c r="H50" s="137" t="s">
        <v>1048</v>
      </c>
      <c r="I50" s="139">
        <f>1.51/(1.51+G50/9100-1)</f>
        <v>2.2064318286068518</v>
      </c>
    </row>
    <row r="51" spans="6:10">
      <c r="F51" t="s">
        <v>1042</v>
      </c>
      <c r="G51" s="140">
        <f>IF(I49&gt;G47,G46/G49,G46/G47)</f>
        <v>1.6712445680164949</v>
      </c>
      <c r="H51" s="42" t="s">
        <v>1051</v>
      </c>
      <c r="I51" s="140">
        <f>IF(OR(AND(G49&lt;I49,G48&gt;LOOKUP(B10,'A.W.M.'!A:A,'A.W.M.'!S:S)),AND(Nuke!G47&lt;Nuke!I49,G48&gt;LOOKUP(B10,'A.W.M.'!A:A,'A.W.M.'!S:S))),Nuke!G51*LOOKUP(Nuke!B10,'A.W.M.'!A:A,'A.W.M.'!R:R),G51)</f>
        <v>2.0556308186602887</v>
      </c>
    </row>
    <row r="52" spans="6:10">
      <c r="F52" s="137" t="s">
        <v>1053</v>
      </c>
      <c r="G52" s="142">
        <f>SQRT(C14*C12^2/G33)*C21</f>
        <v>9137326793.3241844</v>
      </c>
    </row>
    <row r="53" spans="6:10">
      <c r="F53" s="42" t="s">
        <v>1060</v>
      </c>
      <c r="G53">
        <f>L39/3000</f>
        <v>1.101276940547077E-5</v>
      </c>
      <c r="H53" s="42" t="s">
        <v>988</v>
      </c>
    </row>
    <row r="54" spans="6:10">
      <c r="F54" s="141" t="s">
        <v>994</v>
      </c>
      <c r="G54" s="16">
        <f>C20*G33</f>
        <v>30.299999999999997</v>
      </c>
      <c r="H54" s="141" t="s">
        <v>993</v>
      </c>
    </row>
  </sheetData>
  <mergeCells count="12">
    <mergeCell ref="A2:C3"/>
    <mergeCell ref="A5:C6"/>
    <mergeCell ref="E2:G2"/>
    <mergeCell ref="N13:N14"/>
    <mergeCell ref="K12:K14"/>
    <mergeCell ref="L13:L14"/>
    <mergeCell ref="H12:H14"/>
    <mergeCell ref="O8:O9"/>
    <mergeCell ref="Q8:Q9"/>
    <mergeCell ref="P8:P9"/>
    <mergeCell ref="R8:R9"/>
    <mergeCell ref="J12:J14"/>
  </mergeCells>
  <dataValidations count="7">
    <dataValidation type="whole" operator="greaterThan" allowBlank="1" showInputMessage="1" showErrorMessage="1" sqref="B10" xr:uid="{23C08553-C5FF-4FD9-9521-4D3EBDD4A9D8}">
      <formula1>0</formula1>
    </dataValidation>
    <dataValidation type="decimal" operator="greaterThan" allowBlank="1" showInputMessage="1" showErrorMessage="1" sqref="G5 G32" xr:uid="{302FC4F2-C96F-4575-A53C-217D0BC274A9}">
      <formula1>1</formula1>
    </dataValidation>
    <dataValidation type="decimal" operator="greaterThan" allowBlank="1" showInputMessage="1" showErrorMessage="1" sqref="G7 C25 G34" xr:uid="{0CCC5D3C-4824-4385-ADA6-250837AA9F27}">
      <formula1>0</formula1>
    </dataValidation>
    <dataValidation type="decimal" operator="greaterThan" allowBlank="1" showInputMessage="1" showErrorMessage="1" sqref="G8" xr:uid="{14A6721D-97CA-4EEF-BC38-048787F48166}">
      <formula1>5</formula1>
    </dataValidation>
    <dataValidation type="decimal" allowBlank="1" showInputMessage="1" showErrorMessage="1" sqref="G6" xr:uid="{C4AD9A36-CA2B-46BB-9C2D-E8FF51A8E0DC}">
      <formula1>C14</formula1>
      <formula2>I12</formula2>
    </dataValidation>
    <dataValidation type="decimal" allowBlank="1" showInputMessage="1" showErrorMessage="1" sqref="G9" xr:uid="{E67691D0-F3F3-481F-BE89-9807745CA567}">
      <formula1>0</formula1>
      <formula2>1</formula2>
    </dataValidation>
    <dataValidation type="decimal" allowBlank="1" showInputMessage="1" showErrorMessage="1" sqref="G33" xr:uid="{5604D1A9-FF90-45EE-9776-64EDD9EBAC91}">
      <formula1>0</formula1>
      <formula2>I39</formula2>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SolverNukeSingle">
                <anchor moveWithCells="1" sizeWithCells="1">
                  <from>
                    <xdr:col>6</xdr:col>
                    <xdr:colOff>666750</xdr:colOff>
                    <xdr:row>7</xdr:row>
                    <xdr:rowOff>166688</xdr:rowOff>
                  </from>
                  <to>
                    <xdr:col>8</xdr:col>
                    <xdr:colOff>4763</xdr:colOff>
                    <xdr:row>8</xdr:row>
                    <xdr:rowOff>176213</xdr:rowOff>
                  </to>
                </anchor>
              </controlPr>
            </control>
          </mc:Choice>
        </mc:AlternateContent>
        <mc:AlternateContent xmlns:mc="http://schemas.openxmlformats.org/markup-compatibility/2006">
          <mc:Choice Requires="x14">
            <control shapeId="17411" r:id="rId5" name="Button 3">
              <controlPr defaultSize="0" print="0" autoFill="0" autoPict="0" macro="[0]!NukeImplosionBalance">
                <anchor moveWithCells="1" sizeWithCells="1">
                  <from>
                    <xdr:col>8</xdr:col>
                    <xdr:colOff>71438</xdr:colOff>
                    <xdr:row>44</xdr:row>
                    <xdr:rowOff>33338</xdr:rowOff>
                  </from>
                  <to>
                    <xdr:col>8</xdr:col>
                    <xdr:colOff>566738</xdr:colOff>
                    <xdr:row>45</xdr:row>
                    <xdr:rowOff>147638</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F62D5-5BB0-4435-B686-C5D24860DE4E}">
  <sheetPr codeName="Sheet18">
    <tabColor theme="4"/>
  </sheetPr>
  <dimension ref="A1:O36"/>
  <sheetViews>
    <sheetView workbookViewId="0">
      <selection sqref="A1:E2"/>
    </sheetView>
  </sheetViews>
  <sheetFormatPr defaultRowHeight="14.25"/>
  <cols>
    <col min="6" max="6" width="9.06640625" style="346"/>
    <col min="8" max="8" width="13.19921875" customWidth="1"/>
    <col min="9" max="9" width="11.59765625" bestFit="1" customWidth="1"/>
    <col min="13" max="13" width="10.73046875" customWidth="1"/>
    <col min="14" max="14" width="11.06640625" customWidth="1"/>
  </cols>
  <sheetData>
    <row r="1" spans="1:15" s="341" customFormat="1">
      <c r="A1" s="596" t="s">
        <v>1768</v>
      </c>
      <c r="B1" s="596"/>
      <c r="C1" s="596"/>
      <c r="D1" s="596"/>
      <c r="E1" s="596"/>
      <c r="F1" s="346"/>
    </row>
    <row r="2" spans="1:15">
      <c r="A2" s="596"/>
      <c r="B2" s="596"/>
      <c r="C2" s="596"/>
      <c r="D2" s="596"/>
      <c r="E2" s="596"/>
    </row>
    <row r="4" spans="1:15">
      <c r="A4" t="s">
        <v>1637</v>
      </c>
      <c r="G4" t="s">
        <v>1638</v>
      </c>
      <c r="L4" t="s">
        <v>1698</v>
      </c>
    </row>
    <row r="5" spans="1:15">
      <c r="B5" t="s">
        <v>1689</v>
      </c>
      <c r="H5" t="s">
        <v>1636</v>
      </c>
      <c r="I5" s="357">
        <v>1E+20</v>
      </c>
      <c r="J5" s="340" t="s">
        <v>1639</v>
      </c>
    </row>
    <row r="6" spans="1:15">
      <c r="A6" s="29" t="s">
        <v>1688</v>
      </c>
      <c r="B6" s="142">
        <f>LOOKUP(C6,Materials[[#All],[Refe-rence]],Materials[[#All],[Density (kg/m3)]])*6.022E+23/LOOKUP(Reactor!C6,Materials[[#All],[Refe-rence]],Materials[[#All],[Molar mass (g/mol)]])*1000*D7</f>
        <v>1.2233581481481482E+28</v>
      </c>
      <c r="C6" s="184">
        <v>92</v>
      </c>
      <c r="D6" s="596" t="str">
        <f>LOOKUP(C6,Material!A:A,Material!B:B)</f>
        <v>U-235 Dioxide</v>
      </c>
      <c r="E6" s="596"/>
      <c r="F6" s="345"/>
      <c r="H6" t="s">
        <v>1723</v>
      </c>
      <c r="I6" s="357">
        <v>1000000</v>
      </c>
      <c r="J6" t="s">
        <v>575</v>
      </c>
      <c r="M6" t="s">
        <v>1439</v>
      </c>
      <c r="N6" s="1">
        <f>(2*PI()*D8/D9/5.784)^(1/3)</f>
        <v>0.24943143275795879</v>
      </c>
      <c r="O6" t="s">
        <v>2</v>
      </c>
    </row>
    <row r="7" spans="1:15">
      <c r="A7" s="29" t="s">
        <v>1693</v>
      </c>
      <c r="B7" s="29">
        <f>LOOKUP(C6,Materials[[#All],[Refe-rence]],Materials[[#All],[Isotopic ref]])</f>
        <v>6</v>
      </c>
      <c r="C7" t="s">
        <v>1703</v>
      </c>
      <c r="D7" s="86">
        <v>0.5</v>
      </c>
      <c r="H7" s="171" t="s">
        <v>1706</v>
      </c>
      <c r="I7" s="351">
        <v>3125</v>
      </c>
      <c r="J7" t="s">
        <v>394</v>
      </c>
      <c r="M7" t="s">
        <v>1697</v>
      </c>
      <c r="N7" s="1">
        <f>SQRT(D8/D9/PI()/N6)</f>
        <v>0.13502073039290577</v>
      </c>
      <c r="O7" t="s">
        <v>2</v>
      </c>
    </row>
    <row r="8" spans="1:15" ht="14.65" thickBot="1">
      <c r="A8" s="29" t="s">
        <v>1690</v>
      </c>
      <c r="B8" s="142">
        <f>B6*Neutron_Flux*LOOKUP(B7,Iso!A:A,Iso!L:L)*1.60217662E-13*1E-28*LOOKUP(C6,Iso!A:A,Iso!F:F)*0.8</f>
        <v>7734928568.4272785</v>
      </c>
      <c r="C8" s="171" t="s">
        <v>1696</v>
      </c>
      <c r="D8" s="184">
        <v>0.01</v>
      </c>
      <c r="E8" s="180" t="s">
        <v>850</v>
      </c>
      <c r="F8" s="180"/>
    </row>
    <row r="9" spans="1:15" ht="14.65" thickTop="1">
      <c r="A9" s="29" t="s">
        <v>826</v>
      </c>
      <c r="B9" s="142">
        <f>B6*Neutron_Flux*1E-28*LOOKUP(C6,Iso!A:A,Iso!F:F)</f>
        <v>2.9727603000000001E+20</v>
      </c>
      <c r="C9" s="346" t="s">
        <v>1699</v>
      </c>
      <c r="D9" s="86">
        <v>0.7</v>
      </c>
      <c r="E9" s="346"/>
      <c r="H9" s="674" t="str">
        <f>IF(D15&lt;0,"Coolant is Super-Critical","")</f>
        <v/>
      </c>
      <c r="I9" s="675"/>
      <c r="M9" t="s">
        <v>1707</v>
      </c>
      <c r="N9" s="167">
        <f>B6/B9/86400*0.5</f>
        <v>238.14967230605092</v>
      </c>
      <c r="O9" s="335" t="s">
        <v>1705</v>
      </c>
    </row>
    <row r="10" spans="1:15">
      <c r="A10" s="347"/>
      <c r="B10" s="29"/>
      <c r="C10" s="346"/>
      <c r="D10" s="346"/>
      <c r="E10" s="346"/>
      <c r="H10" s="676" t="str">
        <f>IF(AND(LOOKUP(C12,Material!A:A,Material!C:C)="Fluids",Reactor!I14&gt;Reactor!D15),"Liquid Coolant is Boiling","")</f>
        <v/>
      </c>
      <c r="I10" s="677"/>
      <c r="N10" s="1">
        <f>N9/356.25</f>
        <v>0.66849030822751132</v>
      </c>
      <c r="O10" t="s">
        <v>1702</v>
      </c>
    </row>
    <row r="11" spans="1:15">
      <c r="B11" t="s">
        <v>1700</v>
      </c>
      <c r="F11" s="180"/>
      <c r="H11" s="676" t="str">
        <f>IF(I7&gt;LOOKUP(C6,Material!A:A,Material!T:T),"Fuel Pin will Melt","")</f>
        <v/>
      </c>
      <c r="I11" s="677"/>
    </row>
    <row r="12" spans="1:15" ht="14.65" thickBot="1">
      <c r="A12" s="74" t="s">
        <v>429</v>
      </c>
      <c r="B12" s="81">
        <f>PI()*N7^2*(1-D9)</f>
        <v>1.7181933480986029E-2</v>
      </c>
      <c r="C12" s="184">
        <v>104</v>
      </c>
      <c r="D12" s="596" t="str">
        <f>LOOKUP(C12,Material!A:A,Material!B:B)</f>
        <v>Helium</v>
      </c>
      <c r="E12" s="596"/>
      <c r="H12" s="678" t="str">
        <f>IF(I20&gt;1,"Coolant Flow Is Super-Sonic","")</f>
        <v/>
      </c>
      <c r="I12" s="679"/>
      <c r="M12" t="s">
        <v>343</v>
      </c>
      <c r="N12" s="178">
        <f>D8*B8</f>
        <v>77349285.684272781</v>
      </c>
      <c r="O12" t="s">
        <v>1695</v>
      </c>
    </row>
    <row r="13" spans="1:15" ht="14.65" thickTop="1">
      <c r="C13" t="s">
        <v>391</v>
      </c>
      <c r="D13" s="7">
        <f>LOOKUP(C12,Materials[[#All],[Refe-rence]],Materials[[#All],[Specific Heat (J/kgK)]])</f>
        <v>5193.12</v>
      </c>
      <c r="E13" t="s">
        <v>1719</v>
      </c>
      <c r="N13" s="175">
        <f>N12/1000000</f>
        <v>77.349285684272786</v>
      </c>
      <c r="O13" t="s">
        <v>1704</v>
      </c>
    </row>
    <row r="14" spans="1:15">
      <c r="C14" t="s">
        <v>1720</v>
      </c>
      <c r="D14" s="167">
        <f>MAX(
SQRT(LOOKUP(C12,Materials[[#All],[Refe-rence]],Materials[[#All],[Bulk Modulus (Gpa)]])*1000000000/LOOKUP(C12,Materials[[#All],[Refe-rence]],Materials[[#All],[Density (kg/m3)]])),
SQRT(LOOKUP(C12,Materials[[#All],[Refe-rence]],Materials[[#All],[Gas Phase Adibatic Index]])*8.3145*Reactor!I14/LOOKUP(Reactor!C12,Materials[[#All],[Refe-rence]],Materials[[#All],[Molar mass (g/mol)]])*1000)
)</f>
        <v>2434.3804050506915</v>
      </c>
      <c r="E14" t="s">
        <v>16</v>
      </c>
      <c r="H14" t="s">
        <v>1718</v>
      </c>
      <c r="I14" s="1">
        <f>SQRT(I7*D26)</f>
        <v>1718.771926953606</v>
      </c>
      <c r="J14" t="s">
        <v>394</v>
      </c>
      <c r="N14" s="175"/>
    </row>
    <row r="15" spans="1:15">
      <c r="C15" t="s">
        <v>1724</v>
      </c>
      <c r="D15" s="175">
        <f>1/(1/LOOKUP(C12,Materials[[#All],[Refe-rence]],Materials[[#All],[Boiling Point (K)]])-(8.314/LOOKUP(C12,Materials[[#All],[Refe-rence]],Materials[[#All],[Enthalpy Change of Vaporization (J/mol)]])*LN(Reactor!I6/100000)))</f>
        <v>97.068551443235037</v>
      </c>
      <c r="E15" t="s">
        <v>394</v>
      </c>
      <c r="F15" s="345"/>
      <c r="M15" t="s">
        <v>1765</v>
      </c>
      <c r="N15" s="175">
        <f>N13*I23</f>
        <v>34.806635826979182</v>
      </c>
      <c r="O15" t="s">
        <v>1710</v>
      </c>
    </row>
    <row r="16" spans="1:15">
      <c r="H16" t="s">
        <v>1763</v>
      </c>
      <c r="I16" s="175">
        <f>IF(I14&lt;D15,LOOKUP(C12,Materials[[#All],[Refe-rence]],Materials[[#All],[Density (kg/m3)]]),LOOKUP(C12,Materials[[#All],[Refe-rence]],Materials[[#All],[Molar mass (g/mol)]])/1000/8.314/Reactor!I14*Reactor!I6)</f>
        <v>0.28012851452334941</v>
      </c>
      <c r="J16" t="s">
        <v>348</v>
      </c>
    </row>
    <row r="17" spans="2:15">
      <c r="B17" t="s">
        <v>1711</v>
      </c>
      <c r="H17" t="s">
        <v>1764</v>
      </c>
      <c r="I17" s="1">
        <f>N12/(D13*(I7-I14))</f>
        <v>10.591858872674916</v>
      </c>
      <c r="J17" t="s">
        <v>790</v>
      </c>
      <c r="M17" t="s">
        <v>1767</v>
      </c>
      <c r="N17">
        <f>D8*LOOKUP(C6,Materials[[#All],[Refe-rence]],Materials[[#All],[Density (kg/m3)]])</f>
        <v>109.7</v>
      </c>
      <c r="O17" t="s">
        <v>1766</v>
      </c>
    </row>
    <row r="18" spans="2:15">
      <c r="C18" s="184">
        <v>43</v>
      </c>
      <c r="D18" s="596" t="str">
        <f>LOOKUP(C18,Material!A:A,Material!B:B)</f>
        <v>Aluminum</v>
      </c>
      <c r="E18" s="596"/>
      <c r="H18" t="s">
        <v>1722</v>
      </c>
      <c r="I18" s="175">
        <f>(I17/B12)^2/2/I16</f>
        <v>678286.21430313343</v>
      </c>
      <c r="J18" t="s">
        <v>575</v>
      </c>
      <c r="M18" t="s">
        <v>279</v>
      </c>
      <c r="N18" s="1">
        <f>I16*D8/D9*(1-D9)</f>
        <v>1.2005507765286407E-3</v>
      </c>
      <c r="O18" t="s">
        <v>1</v>
      </c>
    </row>
    <row r="19" spans="2:15">
      <c r="C19" t="s">
        <v>1712</v>
      </c>
      <c r="D19" s="184">
        <v>3</v>
      </c>
      <c r="H19" t="s">
        <v>1721</v>
      </c>
      <c r="I19" s="1">
        <f>Reactor!I17/I16/Reactor!B12</f>
        <v>2200.608742114603</v>
      </c>
      <c r="J19" t="s">
        <v>16</v>
      </c>
    </row>
    <row r="20" spans="2:15">
      <c r="B20" s="348"/>
      <c r="C20" s="348"/>
      <c r="D20" s="348"/>
      <c r="E20" s="348"/>
      <c r="F20" s="345"/>
      <c r="I20" s="1">
        <f>I19/D14</f>
        <v>0.90397077529416747</v>
      </c>
      <c r="J20" t="s">
        <v>362</v>
      </c>
      <c r="L20" t="s">
        <v>1774</v>
      </c>
    </row>
    <row r="21" spans="2:15">
      <c r="B21" s="348" t="s">
        <v>1772</v>
      </c>
      <c r="C21" s="348"/>
      <c r="D21" s="348"/>
      <c r="E21" s="348"/>
      <c r="M21" t="s">
        <v>4</v>
      </c>
      <c r="N21" s="175">
        <f>N15*1000/D22</f>
        <v>3480.6635826979182</v>
      </c>
      <c r="O21" t="s">
        <v>1</v>
      </c>
    </row>
    <row r="22" spans="2:15">
      <c r="C22" t="s">
        <v>1773</v>
      </c>
      <c r="D22" s="184">
        <v>10</v>
      </c>
      <c r="E22" t="s">
        <v>1775</v>
      </c>
      <c r="H22" s="346" t="s">
        <v>1709</v>
      </c>
      <c r="I22" s="134">
        <f>1-D26/I7</f>
        <v>0.69749228166309774</v>
      </c>
    </row>
    <row r="23" spans="2:15">
      <c r="H23" s="117" t="s">
        <v>1708</v>
      </c>
      <c r="I23" s="134">
        <f>1-SQRT(D26/I7)</f>
        <v>0.44999298337484606</v>
      </c>
      <c r="L23" t="s">
        <v>1713</v>
      </c>
    </row>
    <row r="24" spans="2:15">
      <c r="B24" s="348" t="s">
        <v>1701</v>
      </c>
      <c r="C24" s="348"/>
      <c r="D24" s="348"/>
      <c r="E24" s="348"/>
      <c r="M24" t="s">
        <v>1715</v>
      </c>
      <c r="N24" s="175">
        <f>(N13-N15)*D27</f>
        <v>42.968076355866543</v>
      </c>
      <c r="O24" t="s">
        <v>1716</v>
      </c>
    </row>
    <row r="25" spans="2:15">
      <c r="B25" s="348"/>
      <c r="C25" s="184">
        <v>6</v>
      </c>
      <c r="D25" s="672" t="str">
        <f>LOOKUP(C25,Thermal!A:A,Thermal!B:B)</f>
        <v>Tin Droplet</v>
      </c>
      <c r="E25" s="596"/>
      <c r="H25" t="s">
        <v>1837</v>
      </c>
      <c r="I25" s="172">
        <f>B8/0.8*0.2*D8</f>
        <v>19337321.421068195</v>
      </c>
      <c r="J25" t="s">
        <v>344</v>
      </c>
      <c r="M25" t="s">
        <v>1717</v>
      </c>
      <c r="N25" s="175">
        <f>N24*1000/LOOKUP(C25,Thermal!A:A,Thermal!E:E)</f>
        <v>1116.3438907733564</v>
      </c>
      <c r="O25" t="s">
        <v>667</v>
      </c>
    </row>
    <row r="26" spans="2:15">
      <c r="B26" s="348"/>
      <c r="C26" s="348" t="s">
        <v>1694</v>
      </c>
      <c r="D26" s="1">
        <f>LOOKUP(C25,Thermal!A:A,Thermal!C:C)</f>
        <v>945.33661980281977</v>
      </c>
      <c r="E26" s="348" t="s">
        <v>394</v>
      </c>
      <c r="H26" s="79">
        <f>I25-J26</f>
        <v>11280104.16228978</v>
      </c>
      <c r="I26" s="74" t="s">
        <v>1840</v>
      </c>
      <c r="J26" s="79">
        <f>2.5/6*I25</f>
        <v>8057217.2587784147</v>
      </c>
      <c r="K26" s="74" t="s">
        <v>1839</v>
      </c>
      <c r="M26" t="s">
        <v>4</v>
      </c>
      <c r="N26" s="175">
        <f>N25*LOOKUP(C25,Thermal!A:A,Thermal!D:D)</f>
        <v>7161.7925968673908</v>
      </c>
      <c r="O26" t="s">
        <v>1</v>
      </c>
    </row>
    <row r="27" spans="2:15">
      <c r="B27" s="348"/>
      <c r="C27" s="348" t="s">
        <v>1714</v>
      </c>
      <c r="D27" s="184">
        <v>1.01</v>
      </c>
      <c r="E27" s="348"/>
      <c r="H27" t="s">
        <v>1838</v>
      </c>
    </row>
    <row r="28" spans="2:15">
      <c r="H28" s="79">
        <f>J26*0.5^(D31/LOOKUP(C30,'Rad.Shd'!B4:B11,'Rad.Shd'!E4:E11))*0.5^(D34/LOOKUP(C33,'Rad.Shd'!B4:B11,'Rad.Shd'!E4:E11))/N33</f>
        <v>4.1270123552882043E-6</v>
      </c>
      <c r="I28" s="74" t="s">
        <v>1841</v>
      </c>
      <c r="J28" s="79">
        <f>H26*0.5^(D31/LOOKUP(C30,'Rad.Shd'!B4:B11,'Rad.Shd'!I4:I11))*0.5^(D34/LOOKUP(C33,'Rad.Shd'!B4:B11,'Rad.Shd'!I4:I11))/N33</f>
        <v>8.5131948404610876E-5</v>
      </c>
      <c r="K28" s="74" t="s">
        <v>1844</v>
      </c>
      <c r="L28" t="s">
        <v>1771</v>
      </c>
    </row>
    <row r="29" spans="2:15">
      <c r="B29" t="s">
        <v>1835</v>
      </c>
      <c r="H29" t="s">
        <v>1845</v>
      </c>
      <c r="M29" t="s">
        <v>4</v>
      </c>
      <c r="N29" s="1">
        <f>2*PI()*N7^2*(N7+N6)*I6*LOOKUP(C18,Materials[[#All],[Refe-rence]],Materials[[#All],[Density (kg/m3)]])/(LOOKUP(C18,Materials[[#All],[Refe-rence]],Materials[[#All],[Yield Strength (Mpa)]])*1000000/Reactor!D19)</f>
        <v>17.835205033474221</v>
      </c>
      <c r="O29" t="s">
        <v>1</v>
      </c>
    </row>
    <row r="30" spans="2:15">
      <c r="B30" s="673" t="s">
        <v>1847</v>
      </c>
      <c r="C30" s="184">
        <v>6</v>
      </c>
      <c r="D30" s="672" t="str">
        <f>LOOKUP(C30,'Rad.Shd'!B:B,'Rad.Shd'!C:C)</f>
        <v>Lithium Hydroxide</v>
      </c>
      <c r="E30" s="596"/>
      <c r="H30" s="380" t="s">
        <v>1204</v>
      </c>
      <c r="I30" s="172">
        <f>H28*0.445/68*10</f>
        <v>2.7007654383871339E-7</v>
      </c>
      <c r="J30" t="s">
        <v>1846</v>
      </c>
    </row>
    <row r="31" spans="2:15">
      <c r="B31" s="673"/>
      <c r="C31" t="s">
        <v>1836</v>
      </c>
      <c r="D31" s="184">
        <v>6.6000000000000003E-2</v>
      </c>
      <c r="E31" t="s">
        <v>2</v>
      </c>
      <c r="H31" s="381" t="s">
        <v>1956</v>
      </c>
      <c r="I31" s="172">
        <f>J28*0.445/68</f>
        <v>5.5711348588311531E-7</v>
      </c>
      <c r="J31" t="s">
        <v>1846</v>
      </c>
    </row>
    <row r="32" spans="2:15">
      <c r="H32" s="171" t="s">
        <v>1955</v>
      </c>
      <c r="I32" s="184">
        <v>0.5</v>
      </c>
      <c r="J32" t="s">
        <v>1849</v>
      </c>
      <c r="L32" t="s">
        <v>1842</v>
      </c>
    </row>
    <row r="33" spans="2:15">
      <c r="B33" s="673" t="s">
        <v>1848</v>
      </c>
      <c r="C33" s="184">
        <v>5</v>
      </c>
      <c r="D33" s="672" t="str">
        <f>LOOKUP(C33,'Rad.Shd'!B:B,'Rad.Shd'!C:C)</f>
        <v xml:space="preserve">Lead </v>
      </c>
      <c r="E33" s="596"/>
      <c r="H33" s="171" t="s">
        <v>859</v>
      </c>
      <c r="I33" s="167">
        <f>I32/SUM(I30:I31)/3600</f>
        <v>167.90445230051321</v>
      </c>
      <c r="J33" t="s">
        <v>1850</v>
      </c>
      <c r="M33" t="s">
        <v>1843</v>
      </c>
      <c r="N33" s="1">
        <f>(2*PI()*(N7+D31+D34))*(N6+D31*2+D34*2)+2*(PI()*(N7+D31+D34)^2)</f>
        <v>6.7311179921618223</v>
      </c>
      <c r="O33" s="35" t="s">
        <v>667</v>
      </c>
    </row>
    <row r="34" spans="2:15">
      <c r="B34" s="673"/>
      <c r="C34" s="373" t="s">
        <v>1836</v>
      </c>
      <c r="D34" s="184">
        <v>0.4</v>
      </c>
      <c r="E34" s="373" t="s">
        <v>2</v>
      </c>
      <c r="M34" t="s">
        <v>4</v>
      </c>
      <c r="N34" s="1">
        <f>LOOKUP(C30,'Rad.Shd'!B4:B11,'Rad.Shd'!D4:D11)*(PI()*(N6+2*D31)*(N7+D31)^2-PI()*(N7^2)*(N6))+LOOKUP(C33,'Rad.Shd'!B4:B11,'Rad.Shd'!D4:D11)*(PI()*(N6+2*D31+2*D34)*(N7+D31+D34)^2-PI()*(N7+D31)^2*(N6+2*D31))</f>
        <v>14704.464777624633</v>
      </c>
      <c r="O34" t="s">
        <v>1</v>
      </c>
    </row>
    <row r="36" spans="2:15">
      <c r="L36" s="671" t="s">
        <v>1926</v>
      </c>
      <c r="M36" s="671"/>
      <c r="N36" s="1">
        <f>N34+N29+N26+N21+N17+N18</f>
        <v>25474.457362774196</v>
      </c>
      <c r="O36" t="s">
        <v>1</v>
      </c>
    </row>
  </sheetData>
  <mergeCells count="14">
    <mergeCell ref="L36:M36"/>
    <mergeCell ref="D33:E33"/>
    <mergeCell ref="B30:B31"/>
    <mergeCell ref="B33:B34"/>
    <mergeCell ref="A1:E2"/>
    <mergeCell ref="D18:E18"/>
    <mergeCell ref="D6:E6"/>
    <mergeCell ref="H9:I9"/>
    <mergeCell ref="H10:I10"/>
    <mergeCell ref="H12:I12"/>
    <mergeCell ref="D30:E30"/>
    <mergeCell ref="H11:I11"/>
    <mergeCell ref="D25:E25"/>
    <mergeCell ref="D12:E12"/>
  </mergeCells>
  <dataValidations count="3">
    <dataValidation type="decimal" operator="greaterThan" allowBlank="1" showInputMessage="1" showErrorMessage="1" sqref="N9 I5:I6 D8 D10 D22 D31 D34 I32" xr:uid="{C8B58313-35BC-4E53-B8B3-26843B007E56}">
      <formula1>0</formula1>
    </dataValidation>
    <dataValidation type="decimal" allowBlank="1" showInputMessage="1" showErrorMessage="1" sqref="D7 D9" xr:uid="{5B9DCEFB-DD69-480E-9B3C-F96EE345AED7}">
      <formula1>0</formula1>
      <formula2>1</formula2>
    </dataValidation>
    <dataValidation type="decimal" operator="greaterThan" allowBlank="1" showInputMessage="1" showErrorMessage="1" sqref="D19 D27" xr:uid="{70E78E0F-D962-4B4F-B52E-D230C95D637D}">
      <formula1>1</formula1>
    </dataValidation>
  </dataValidations>
  <pageMargins left="0.7" right="0.7" top="0.75" bottom="0.75" header="0.3" footer="0.3"/>
  <pageSetup orientation="portrait" verticalDpi="0"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4028-E583-4510-B81D-62E5D1AD4759}">
  <sheetPr codeName="Sheet19">
    <tabColor theme="4"/>
  </sheetPr>
  <dimension ref="A1:AC70"/>
  <sheetViews>
    <sheetView workbookViewId="0"/>
  </sheetViews>
  <sheetFormatPr defaultRowHeight="14.25"/>
  <cols>
    <col min="1" max="1" width="9.06640625" style="375"/>
    <col min="3" max="3" width="9.06640625" customWidth="1"/>
    <col min="4" max="4" width="8.3984375" customWidth="1"/>
    <col min="5" max="5" width="9.1328125" bestFit="1" customWidth="1"/>
    <col min="9" max="9" width="9.3984375" customWidth="1"/>
    <col min="11" max="11" width="4.265625" style="374" customWidth="1"/>
    <col min="12" max="12" width="6.3984375" style="360" customWidth="1"/>
    <col min="13" max="13" width="7.1328125" style="359" customWidth="1"/>
    <col min="14" max="14" width="7.796875" customWidth="1"/>
    <col min="15" max="15" width="8.796875" customWidth="1"/>
    <col min="16" max="16" width="8.9296875" customWidth="1"/>
    <col min="17" max="17" width="8.9296875" style="359" customWidth="1"/>
    <col min="18" max="18" width="11.265625" bestFit="1" customWidth="1"/>
    <col min="19" max="21" width="9.1328125" bestFit="1" customWidth="1"/>
    <col min="23" max="23" width="9.06640625" style="375"/>
    <col min="24" max="24" width="28.06640625" style="375" customWidth="1"/>
    <col min="25" max="25" width="9.06640625" style="375"/>
    <col min="26" max="26" width="19.265625" style="375" customWidth="1"/>
    <col min="27" max="27" width="11.19921875" style="375" customWidth="1"/>
    <col min="28" max="28" width="9.06640625" style="375"/>
    <col min="29" max="29" width="8.33203125" style="375" customWidth="1"/>
  </cols>
  <sheetData>
    <row r="1" spans="1:29" s="375" customFormat="1"/>
    <row r="2" spans="1:29" s="360" customFormat="1" ht="14.25" customHeight="1">
      <c r="A2" s="375"/>
      <c r="B2" s="616" t="s">
        <v>1830</v>
      </c>
      <c r="C2" s="616"/>
      <c r="D2" s="616"/>
      <c r="E2" s="616"/>
      <c r="F2" s="375"/>
      <c r="G2" s="375" t="s">
        <v>1831</v>
      </c>
      <c r="K2" s="374"/>
    </row>
    <row r="3" spans="1:29">
      <c r="B3" s="616"/>
      <c r="C3" s="616"/>
      <c r="D3" s="616"/>
      <c r="E3" s="616"/>
      <c r="F3" s="375"/>
      <c r="G3" s="375"/>
    </row>
    <row r="4" spans="1:29" ht="14.25" customHeight="1" thickBot="1">
      <c r="B4" s="375"/>
      <c r="C4" s="375"/>
      <c r="D4" s="375"/>
      <c r="E4" s="375"/>
      <c r="F4" s="375"/>
      <c r="G4" s="375"/>
      <c r="M4" s="360"/>
      <c r="N4" s="360"/>
      <c r="O4" s="360"/>
      <c r="P4" s="360"/>
      <c r="Q4" s="360"/>
      <c r="R4" s="360"/>
      <c r="S4" s="360"/>
      <c r="T4" s="360"/>
      <c r="U4" s="360"/>
      <c r="V4" s="360"/>
    </row>
    <row r="5" spans="1:29" ht="15" thickTop="1" thickBot="1">
      <c r="B5" s="375" t="s">
        <v>1789</v>
      </c>
      <c r="C5" s="375"/>
      <c r="D5" s="375"/>
      <c r="E5" s="375"/>
      <c r="F5" s="375"/>
      <c r="G5" s="375" t="s">
        <v>1621</v>
      </c>
      <c r="L5" s="684" t="s">
        <v>1856</v>
      </c>
      <c r="M5" s="685"/>
      <c r="N5" s="378">
        <v>27867</v>
      </c>
      <c r="O5" s="686" t="str">
        <f>"m,"&amp;ROUND(N5/1000,1)&amp;"km"</f>
        <v>m,27.9km</v>
      </c>
      <c r="P5" s="687"/>
      <c r="W5" s="693" t="s">
        <v>1858</v>
      </c>
      <c r="X5" s="694"/>
      <c r="Y5" s="694" t="s">
        <v>1859</v>
      </c>
      <c r="Z5" s="694" t="s">
        <v>1916</v>
      </c>
      <c r="AA5" s="694" t="s">
        <v>1860</v>
      </c>
      <c r="AB5" s="694" t="s">
        <v>1861</v>
      </c>
      <c r="AC5" s="697"/>
    </row>
    <row r="6" spans="1:29" ht="15" thickTop="1" thickBot="1">
      <c r="C6" s="171" t="s">
        <v>1857</v>
      </c>
      <c r="D6" s="184">
        <v>10</v>
      </c>
      <c r="E6" t="s">
        <v>667</v>
      </c>
      <c r="H6" t="s">
        <v>1798</v>
      </c>
      <c r="I6" s="184">
        <v>0.2</v>
      </c>
      <c r="J6" t="s">
        <v>667</v>
      </c>
      <c r="W6" s="693"/>
      <c r="X6" s="694"/>
      <c r="Y6" s="694"/>
      <c r="Z6" s="694"/>
      <c r="AA6" s="694"/>
      <c r="AB6" s="694"/>
      <c r="AC6" s="697"/>
    </row>
    <row r="7" spans="1:29" ht="15" thickTop="1" thickBot="1">
      <c r="C7" s="171" t="s">
        <v>1851</v>
      </c>
      <c r="D7" s="86">
        <v>0.66</v>
      </c>
      <c r="H7" t="s">
        <v>1799</v>
      </c>
      <c r="I7" s="184">
        <v>0.16</v>
      </c>
      <c r="J7" t="s">
        <v>667</v>
      </c>
      <c r="L7" s="680" t="s">
        <v>1855</v>
      </c>
      <c r="M7" s="680" t="s">
        <v>1827</v>
      </c>
      <c r="N7" s="692" t="s">
        <v>1854</v>
      </c>
      <c r="O7" s="692"/>
      <c r="P7" s="690" t="s">
        <v>1808</v>
      </c>
      <c r="Q7" s="690"/>
      <c r="R7" s="690" t="s">
        <v>1828</v>
      </c>
      <c r="S7" s="691"/>
      <c r="T7" s="688" t="s">
        <v>1829</v>
      </c>
      <c r="U7" s="689"/>
      <c r="W7" s="695" t="s">
        <v>1862</v>
      </c>
      <c r="X7" s="377" t="s">
        <v>1863</v>
      </c>
      <c r="Y7" s="377" t="s">
        <v>1864</v>
      </c>
      <c r="Z7" s="377" t="s">
        <v>1865</v>
      </c>
      <c r="AA7" s="377" t="s">
        <v>1866</v>
      </c>
      <c r="AB7" s="695" t="s">
        <v>1867</v>
      </c>
      <c r="AC7" s="695"/>
    </row>
    <row r="8" spans="1:29" ht="14.65" thickTop="1">
      <c r="C8" t="s">
        <v>1791</v>
      </c>
      <c r="D8" s="184">
        <v>3</v>
      </c>
      <c r="E8" t="s">
        <v>1792</v>
      </c>
      <c r="G8" t="s">
        <v>1795</v>
      </c>
      <c r="L8" s="681"/>
      <c r="M8" s="681"/>
      <c r="N8" s="366" t="s">
        <v>1824</v>
      </c>
      <c r="O8" s="366" t="s">
        <v>1825</v>
      </c>
      <c r="P8" s="366" t="s">
        <v>1824</v>
      </c>
      <c r="Q8" s="366" t="s">
        <v>1825</v>
      </c>
      <c r="R8" s="366" t="s">
        <v>1824</v>
      </c>
      <c r="S8" s="367" t="s">
        <v>1825</v>
      </c>
      <c r="T8" s="368" t="s">
        <v>1824</v>
      </c>
      <c r="U8" s="369" t="s">
        <v>1825</v>
      </c>
      <c r="W8" s="695"/>
      <c r="X8" s="377" t="s">
        <v>1868</v>
      </c>
      <c r="Y8" s="377" t="s">
        <v>1869</v>
      </c>
      <c r="Z8" s="377" t="s">
        <v>1870</v>
      </c>
      <c r="AA8" s="377" t="s">
        <v>1866</v>
      </c>
      <c r="AB8" s="695" t="s">
        <v>1871</v>
      </c>
      <c r="AC8" s="695"/>
    </row>
    <row r="9" spans="1:29">
      <c r="C9" t="s">
        <v>1793</v>
      </c>
      <c r="D9" s="18">
        <f>299792000/(D8*1000000000)</f>
        <v>9.9930666666666668E-2</v>
      </c>
      <c r="E9" t="s">
        <v>2</v>
      </c>
      <c r="H9" t="s">
        <v>1804</v>
      </c>
      <c r="I9" s="1">
        <f>D18/D20</f>
        <v>45.454545454545453</v>
      </c>
      <c r="J9" t="s">
        <v>1917</v>
      </c>
      <c r="L9" s="363">
        <v>1</v>
      </c>
      <c r="M9" s="363">
        <f t="shared" ref="M9:M33" si="0">N9*$I$18</f>
        <v>27.867000000000004</v>
      </c>
      <c r="N9" s="364">
        <f t="shared" ref="N9:N33" si="1">L9*$N$5/$I$17</f>
        <v>1.2050155967542471</v>
      </c>
      <c r="O9" s="364">
        <f t="shared" ref="O9:O33" si="2">$I$17*N9/$I$20</f>
        <v>9.5831363180641296E-2</v>
      </c>
      <c r="P9" s="268">
        <f t="shared" ref="P9:P33" si="3">$I$11*$I$12^2*$D$9^2*$I$6/((4*PI())^3*(N9*$I$17)^4)/$D$17/$C$24</f>
        <v>4.7427401154080311</v>
      </c>
      <c r="Q9" s="268">
        <f t="shared" ref="Q9:Q33" si="4">P9*$I$15</f>
        <v>118568.50288520078</v>
      </c>
      <c r="R9" s="365">
        <f t="shared" ref="R9:R33" si="5">$I$23*1/SQRT(2*P9)</f>
        <v>8117.2766382341124</v>
      </c>
      <c r="S9" s="371">
        <f t="shared" ref="S9:S33" si="6">$I$26/(SQRT(2*Q9))</f>
        <v>2.0535266059595529E-3</v>
      </c>
      <c r="T9" s="364">
        <f>MIN($I$7/(PI()*R9^2),1)</f>
        <v>7.7294646596343202E-10</v>
      </c>
      <c r="U9" s="370">
        <f>IF(AND($I$30&gt;M9,M9&gt;$I$33),MIN($I$7/(PI()*S9^2),1),0)</f>
        <v>0</v>
      </c>
      <c r="W9" s="695"/>
      <c r="X9" s="696" t="s">
        <v>1872</v>
      </c>
      <c r="Y9" s="695" t="s">
        <v>1873</v>
      </c>
      <c r="Z9" s="695" t="s">
        <v>1874</v>
      </c>
      <c r="AA9" s="695" t="s">
        <v>1866</v>
      </c>
      <c r="AB9" s="377" t="s">
        <v>1875</v>
      </c>
      <c r="AC9" s="377"/>
    </row>
    <row r="10" spans="1:29">
      <c r="C10" s="171" t="s">
        <v>1817</v>
      </c>
      <c r="D10" s="184">
        <v>150</v>
      </c>
      <c r="E10" t="s">
        <v>1806</v>
      </c>
      <c r="H10" s="171" t="s">
        <v>1853</v>
      </c>
      <c r="I10" s="167">
        <f>D18/(D30)</f>
        <v>500</v>
      </c>
      <c r="J10" t="s">
        <v>1917</v>
      </c>
      <c r="L10" s="363">
        <v>2</v>
      </c>
      <c r="M10" s="363">
        <f t="shared" si="0"/>
        <v>55.734000000000009</v>
      </c>
      <c r="N10" s="364">
        <f t="shared" si="1"/>
        <v>2.4100311935084942</v>
      </c>
      <c r="O10" s="364">
        <f t="shared" si="2"/>
        <v>0.19166272636128259</v>
      </c>
      <c r="P10" s="268">
        <f t="shared" si="3"/>
        <v>0.29642125721300194</v>
      </c>
      <c r="Q10" s="268">
        <f t="shared" si="4"/>
        <v>7410.5314303250489</v>
      </c>
      <c r="R10" s="365">
        <f t="shared" si="5"/>
        <v>32469.10655293645</v>
      </c>
      <c r="S10" s="371">
        <f t="shared" si="6"/>
        <v>8.2141064238382116E-3</v>
      </c>
      <c r="T10" s="364">
        <f t="shared" ref="T10:T29" si="7">MIN($I$7/(PI()*R10^2),1)</f>
        <v>4.8309154122714501E-11</v>
      </c>
      <c r="U10" s="370">
        <f t="shared" ref="U10:U33" si="8">IF(AND($I$30&gt;M10,M10&gt;$I$33),MIN($I$7/(PI()*S10^2),1),0)</f>
        <v>1</v>
      </c>
      <c r="W10" s="695"/>
      <c r="X10" s="696"/>
      <c r="Y10" s="695"/>
      <c r="Z10" s="695"/>
      <c r="AA10" s="695"/>
      <c r="AB10" s="377" t="s">
        <v>1876</v>
      </c>
      <c r="AC10" s="377"/>
    </row>
    <row r="11" spans="1:29">
      <c r="C11" s="171"/>
      <c r="D11" s="172">
        <f>D10*1000000</f>
        <v>150000000</v>
      </c>
      <c r="E11" s="359" t="s">
        <v>1801</v>
      </c>
      <c r="F11" s="359"/>
      <c r="I11" s="172">
        <f>I10*1000</f>
        <v>500000</v>
      </c>
      <c r="J11" t="s">
        <v>344</v>
      </c>
      <c r="L11" s="363">
        <v>3</v>
      </c>
      <c r="M11" s="363">
        <f t="shared" si="0"/>
        <v>83.601000000000013</v>
      </c>
      <c r="N11" s="364">
        <f t="shared" si="1"/>
        <v>3.615046790262741</v>
      </c>
      <c r="O11" s="364">
        <f t="shared" si="2"/>
        <v>0.28749408954192385</v>
      </c>
      <c r="P11" s="268">
        <f t="shared" si="3"/>
        <v>5.8552347103802901E-2</v>
      </c>
      <c r="Q11" s="268">
        <f t="shared" si="4"/>
        <v>1463.8086775950726</v>
      </c>
      <c r="R11" s="365">
        <f t="shared" si="5"/>
        <v>73055.489744106977</v>
      </c>
      <c r="S11" s="371">
        <f t="shared" si="6"/>
        <v>1.848173945363597E-2</v>
      </c>
      <c r="T11" s="364">
        <f t="shared" si="7"/>
        <v>9.5425489625115153E-12</v>
      </c>
      <c r="U11" s="370">
        <f t="shared" si="8"/>
        <v>1</v>
      </c>
      <c r="W11" s="695" t="s">
        <v>1877</v>
      </c>
      <c r="X11" s="377" t="s">
        <v>1878</v>
      </c>
      <c r="Y11" s="377" t="s">
        <v>1864</v>
      </c>
      <c r="Z11" s="377" t="s">
        <v>1879</v>
      </c>
      <c r="AA11" s="377" t="s">
        <v>1880</v>
      </c>
      <c r="AB11" s="377" t="s">
        <v>1881</v>
      </c>
      <c r="AC11" s="377"/>
    </row>
    <row r="12" spans="1:29" s="359" customFormat="1">
      <c r="A12" s="375"/>
      <c r="C12" s="171" t="s">
        <v>1818</v>
      </c>
      <c r="D12" s="184">
        <v>150</v>
      </c>
      <c r="E12" s="359" t="s">
        <v>1806</v>
      </c>
      <c r="H12" t="s">
        <v>1796</v>
      </c>
      <c r="I12" s="167">
        <f>4*PI()*D7*D6/(D9)^2</f>
        <v>8305.3173197020587</v>
      </c>
      <c r="J12"/>
      <c r="K12" s="374"/>
      <c r="L12" s="363">
        <v>4</v>
      </c>
      <c r="M12" s="363">
        <f t="shared" si="0"/>
        <v>111.46800000000002</v>
      </c>
      <c r="N12" s="364">
        <f t="shared" si="1"/>
        <v>4.8200623870169883</v>
      </c>
      <c r="O12" s="364">
        <f t="shared" si="2"/>
        <v>0.38332545272256519</v>
      </c>
      <c r="P12" s="268">
        <f t="shared" si="3"/>
        <v>1.8526328575812621E-2</v>
      </c>
      <c r="Q12" s="268">
        <f t="shared" si="4"/>
        <v>463.15821439531555</v>
      </c>
      <c r="R12" s="365">
        <f t="shared" si="5"/>
        <v>129876.4262117458</v>
      </c>
      <c r="S12" s="371">
        <f t="shared" si="6"/>
        <v>3.2856425695352846E-2</v>
      </c>
      <c r="T12" s="364">
        <f t="shared" si="7"/>
        <v>3.0193221326696563E-12</v>
      </c>
      <c r="U12" s="370">
        <f t="shared" si="8"/>
        <v>1</v>
      </c>
      <c r="V12"/>
      <c r="W12" s="695"/>
      <c r="X12" s="377" t="s">
        <v>1882</v>
      </c>
      <c r="Y12" s="377" t="s">
        <v>1883</v>
      </c>
      <c r="Z12" s="377" t="s">
        <v>1884</v>
      </c>
      <c r="AA12" s="377" t="s">
        <v>1880</v>
      </c>
      <c r="AB12" s="695" t="s">
        <v>1885</v>
      </c>
      <c r="AC12" s="695"/>
    </row>
    <row r="13" spans="1:29" s="359" customFormat="1">
      <c r="A13" s="375"/>
      <c r="D13" s="172">
        <f>D12*1000000</f>
        <v>150000000</v>
      </c>
      <c r="E13" s="359" t="s">
        <v>1801</v>
      </c>
      <c r="F13"/>
      <c r="G13"/>
      <c r="H13" s="359" t="s">
        <v>1833</v>
      </c>
      <c r="I13" s="167">
        <f>(I12/D7)*D28/D29</f>
        <v>41.946047069202315</v>
      </c>
      <c r="J13" s="359" t="s">
        <v>988</v>
      </c>
      <c r="K13" s="374"/>
      <c r="L13" s="363">
        <v>5</v>
      </c>
      <c r="M13" s="363">
        <f t="shared" si="0"/>
        <v>139.33500000000001</v>
      </c>
      <c r="N13" s="364">
        <f t="shared" si="1"/>
        <v>6.0250779837712347</v>
      </c>
      <c r="O13" s="364">
        <f t="shared" si="2"/>
        <v>0.47915681590320641</v>
      </c>
      <c r="P13" s="268">
        <f t="shared" si="3"/>
        <v>7.5883841846528556E-3</v>
      </c>
      <c r="Q13" s="268">
        <f t="shared" si="4"/>
        <v>189.7096046163214</v>
      </c>
      <c r="R13" s="365">
        <f t="shared" si="5"/>
        <v>202931.91595585272</v>
      </c>
      <c r="S13" s="371">
        <f t="shared" si="6"/>
        <v>5.1338165148988799E-2</v>
      </c>
      <c r="T13" s="364">
        <f t="shared" si="7"/>
        <v>1.2367143455414924E-12</v>
      </c>
      <c r="U13" s="370">
        <f t="shared" si="8"/>
        <v>1</v>
      </c>
      <c r="V13"/>
      <c r="W13" s="695"/>
      <c r="X13" s="377" t="s">
        <v>1886</v>
      </c>
      <c r="Y13" s="377" t="s">
        <v>1864</v>
      </c>
      <c r="Z13" s="377" t="s">
        <v>1887</v>
      </c>
      <c r="AA13" s="377" t="s">
        <v>1880</v>
      </c>
      <c r="AB13" s="695" t="s">
        <v>1885</v>
      </c>
      <c r="AC13" s="695"/>
    </row>
    <row r="14" spans="1:29">
      <c r="B14" s="596" t="str">
        <f>ROUND(D8-D12/2000,3)&amp;" GHz to "&amp;ROUND(D8+D12/2000,3)&amp;" GHz"</f>
        <v>2.925 GHz to 3.075 GHz</v>
      </c>
      <c r="C14" s="596"/>
      <c r="D14" s="596"/>
      <c r="E14" s="596"/>
      <c r="G14" s="359"/>
      <c r="H14" s="359"/>
      <c r="I14" s="359"/>
      <c r="J14" s="359"/>
      <c r="L14" s="363">
        <v>6</v>
      </c>
      <c r="M14" s="363">
        <f t="shared" si="0"/>
        <v>167.20200000000003</v>
      </c>
      <c r="N14" s="364">
        <f t="shared" si="1"/>
        <v>7.230093580525482</v>
      </c>
      <c r="O14" s="364">
        <f t="shared" si="2"/>
        <v>0.57498817908384769</v>
      </c>
      <c r="P14" s="268">
        <f t="shared" si="3"/>
        <v>3.6595216939876813E-3</v>
      </c>
      <c r="Q14" s="268">
        <f t="shared" si="4"/>
        <v>91.488042349692037</v>
      </c>
      <c r="R14" s="365">
        <f t="shared" si="5"/>
        <v>292221.95897642791</v>
      </c>
      <c r="S14" s="371">
        <f t="shared" si="6"/>
        <v>7.3926957814543878E-2</v>
      </c>
      <c r="T14" s="364">
        <f t="shared" si="7"/>
        <v>5.964093101569697E-13</v>
      </c>
      <c r="U14" s="370">
        <f t="shared" si="8"/>
        <v>1</v>
      </c>
      <c r="V14" s="359"/>
      <c r="W14" s="695"/>
      <c r="X14" s="377" t="s">
        <v>1888</v>
      </c>
      <c r="Y14" s="377" t="s">
        <v>1889</v>
      </c>
      <c r="Z14" s="377" t="s">
        <v>1874</v>
      </c>
      <c r="AA14" s="377" t="s">
        <v>1890</v>
      </c>
      <c r="AB14" s="695" t="s">
        <v>1891</v>
      </c>
      <c r="AC14" s="695"/>
    </row>
    <row r="15" spans="1:29" s="359" customFormat="1">
      <c r="A15" s="375"/>
      <c r="H15" s="359" t="s">
        <v>1816</v>
      </c>
      <c r="I15" s="167">
        <f>D13*1/D29*D30</f>
        <v>25000</v>
      </c>
      <c r="J15" s="359" t="s">
        <v>1821</v>
      </c>
      <c r="K15" s="374"/>
      <c r="L15" s="363">
        <v>7</v>
      </c>
      <c r="M15" s="363">
        <f t="shared" si="0"/>
        <v>195.06900000000002</v>
      </c>
      <c r="N15" s="364">
        <f t="shared" si="1"/>
        <v>8.4351091772797293</v>
      </c>
      <c r="O15" s="364">
        <f t="shared" si="2"/>
        <v>0.67081954226448892</v>
      </c>
      <c r="P15" s="268">
        <f t="shared" si="3"/>
        <v>1.9753186653094688E-3</v>
      </c>
      <c r="Q15" s="268">
        <f t="shared" si="4"/>
        <v>49.382966632736718</v>
      </c>
      <c r="R15" s="365">
        <f t="shared" si="5"/>
        <v>397746.55527347134</v>
      </c>
      <c r="S15" s="371">
        <f t="shared" si="6"/>
        <v>0.10062280369201806</v>
      </c>
      <c r="T15" s="364">
        <f t="shared" si="7"/>
        <v>3.2192689128006358E-13</v>
      </c>
      <c r="U15" s="370">
        <f t="shared" si="8"/>
        <v>1</v>
      </c>
      <c r="W15" s="695"/>
      <c r="X15" s="695" t="s">
        <v>1892</v>
      </c>
      <c r="Y15" s="695" t="s">
        <v>1893</v>
      </c>
      <c r="Z15" s="695" t="s">
        <v>1894</v>
      </c>
      <c r="AA15" s="695" t="s">
        <v>1895</v>
      </c>
      <c r="AB15" s="377" t="s">
        <v>1896</v>
      </c>
      <c r="AC15" s="377"/>
    </row>
    <row r="16" spans="1:29" s="359" customFormat="1">
      <c r="A16" s="375"/>
      <c r="C16" s="171" t="s">
        <v>1822</v>
      </c>
      <c r="D16" s="185">
        <v>10</v>
      </c>
      <c r="E16" s="117" t="s">
        <v>1812</v>
      </c>
      <c r="G16"/>
      <c r="H16"/>
      <c r="I16"/>
      <c r="J16"/>
      <c r="K16" s="374"/>
      <c r="L16" s="363">
        <v>8</v>
      </c>
      <c r="M16" s="363">
        <f t="shared" si="0"/>
        <v>222.93600000000004</v>
      </c>
      <c r="N16" s="364">
        <f t="shared" si="1"/>
        <v>9.6401247740339766</v>
      </c>
      <c r="O16" s="364">
        <f t="shared" si="2"/>
        <v>0.76665090544513037</v>
      </c>
      <c r="P16" s="268">
        <f t="shared" si="3"/>
        <v>1.1578955359882888E-3</v>
      </c>
      <c r="Q16" s="268">
        <f t="shared" si="4"/>
        <v>28.947388399707222</v>
      </c>
      <c r="R16" s="365">
        <f t="shared" si="5"/>
        <v>519505.70484698319</v>
      </c>
      <c r="S16" s="371">
        <f t="shared" si="6"/>
        <v>0.13142570278141139</v>
      </c>
      <c r="T16" s="364">
        <f t="shared" si="7"/>
        <v>1.8870763329185352E-13</v>
      </c>
      <c r="U16" s="370">
        <f t="shared" si="8"/>
        <v>1</v>
      </c>
      <c r="V16"/>
      <c r="W16" s="695"/>
      <c r="X16" s="695"/>
      <c r="Y16" s="695"/>
      <c r="Z16" s="695"/>
      <c r="AA16" s="695"/>
      <c r="AB16" s="377" t="s">
        <v>1897</v>
      </c>
      <c r="AC16" s="377"/>
    </row>
    <row r="17" spans="1:29" s="359" customFormat="1">
      <c r="A17" s="375"/>
      <c r="B17" s="372"/>
      <c r="C17" s="171"/>
      <c r="D17" s="1">
        <f>10^(D16/10)</f>
        <v>10</v>
      </c>
      <c r="E17" s="117" t="s">
        <v>1820</v>
      </c>
      <c r="F17" s="372"/>
      <c r="G17"/>
      <c r="H17" t="s">
        <v>1797</v>
      </c>
      <c r="I17" s="172">
        <f>(I11/D27*I12^2*D9^2*I6/(4*PI())^3/D17)^0.25</f>
        <v>23125.841752638531</v>
      </c>
      <c r="J17" t="s">
        <v>2</v>
      </c>
      <c r="K17" s="374"/>
      <c r="L17" s="363">
        <v>9</v>
      </c>
      <c r="M17" s="363">
        <f t="shared" si="0"/>
        <v>250.803</v>
      </c>
      <c r="N17" s="364">
        <f t="shared" si="1"/>
        <v>10.845140370788222</v>
      </c>
      <c r="O17" s="364">
        <f t="shared" si="2"/>
        <v>0.86248226862577149</v>
      </c>
      <c r="P17" s="268">
        <f t="shared" si="3"/>
        <v>7.2286848276299873E-4</v>
      </c>
      <c r="Q17" s="268">
        <f t="shared" si="4"/>
        <v>18.07171206907497</v>
      </c>
      <c r="R17" s="365">
        <f t="shared" si="5"/>
        <v>657499.40769696282</v>
      </c>
      <c r="S17" s="371">
        <f t="shared" si="6"/>
        <v>0.16633565508272372</v>
      </c>
      <c r="T17" s="364">
        <f t="shared" si="7"/>
        <v>1.1780924645075944E-13</v>
      </c>
      <c r="U17" s="370">
        <f t="shared" si="8"/>
        <v>1</v>
      </c>
      <c r="W17" s="695"/>
      <c r="X17" s="377" t="s">
        <v>1898</v>
      </c>
      <c r="Y17" s="377" t="s">
        <v>1883</v>
      </c>
      <c r="Z17" s="377" t="s">
        <v>1899</v>
      </c>
      <c r="AA17" s="377" t="s">
        <v>1900</v>
      </c>
      <c r="AB17" s="695" t="s">
        <v>1885</v>
      </c>
      <c r="AC17" s="695"/>
    </row>
    <row r="18" spans="1:29">
      <c r="B18" s="372"/>
      <c r="C18" s="171" t="s">
        <v>1834</v>
      </c>
      <c r="D18" s="184">
        <v>25</v>
      </c>
      <c r="E18" s="372" t="s">
        <v>1917</v>
      </c>
      <c r="F18" s="372"/>
      <c r="H18" t="s">
        <v>1826</v>
      </c>
      <c r="I18" s="1">
        <f>I17/1000</f>
        <v>23.125841752638532</v>
      </c>
      <c r="J18" t="s">
        <v>1587</v>
      </c>
      <c r="L18" s="363">
        <v>10</v>
      </c>
      <c r="M18" s="363">
        <f t="shared" si="0"/>
        <v>278.67</v>
      </c>
      <c r="N18" s="364">
        <f t="shared" si="1"/>
        <v>12.050155967542469</v>
      </c>
      <c r="O18" s="364">
        <f t="shared" si="2"/>
        <v>0.95831363180641282</v>
      </c>
      <c r="P18" s="268">
        <f t="shared" si="3"/>
        <v>4.7427401154080348E-4</v>
      </c>
      <c r="Q18" s="268">
        <f t="shared" si="4"/>
        <v>11.856850288520087</v>
      </c>
      <c r="R18" s="365">
        <f t="shared" si="5"/>
        <v>811727.66382341087</v>
      </c>
      <c r="S18" s="371">
        <f t="shared" si="6"/>
        <v>0.20535266059595519</v>
      </c>
      <c r="T18" s="364">
        <f t="shared" si="7"/>
        <v>7.7294646596343277E-14</v>
      </c>
      <c r="U18" s="370">
        <f t="shared" si="8"/>
        <v>1</v>
      </c>
      <c r="V18" s="359"/>
      <c r="W18" s="695"/>
      <c r="X18" s="377" t="s">
        <v>1901</v>
      </c>
      <c r="Y18" s="377" t="s">
        <v>1902</v>
      </c>
      <c r="Z18" s="377" t="s">
        <v>1903</v>
      </c>
      <c r="AA18" s="377" t="s">
        <v>1904</v>
      </c>
      <c r="AB18" s="695" t="s">
        <v>1905</v>
      </c>
      <c r="AC18" s="695"/>
    </row>
    <row r="19" spans="1:29">
      <c r="B19" s="372"/>
      <c r="C19" s="372"/>
      <c r="D19" s="172">
        <f>D18*1000</f>
        <v>25000</v>
      </c>
      <c r="E19" s="372" t="s">
        <v>344</v>
      </c>
      <c r="F19" s="372"/>
      <c r="H19" s="359"/>
      <c r="I19" s="359"/>
      <c r="J19" s="359"/>
      <c r="L19" s="363">
        <v>11</v>
      </c>
      <c r="M19" s="363">
        <f t="shared" si="0"/>
        <v>306.53700000000003</v>
      </c>
      <c r="N19" s="364">
        <f t="shared" si="1"/>
        <v>13.255171564296717</v>
      </c>
      <c r="O19" s="364">
        <f t="shared" si="2"/>
        <v>1.0541449949870541</v>
      </c>
      <c r="P19" s="268">
        <f t="shared" si="3"/>
        <v>3.2393553141233755E-4</v>
      </c>
      <c r="Q19" s="268">
        <f t="shared" si="4"/>
        <v>8.0983882853084381</v>
      </c>
      <c r="R19" s="365">
        <f t="shared" si="5"/>
        <v>982190.47322632722</v>
      </c>
      <c r="S19" s="371">
        <f t="shared" si="6"/>
        <v>0.24847671932110585</v>
      </c>
      <c r="T19" s="364">
        <f t="shared" si="7"/>
        <v>5.279328365299041E-14</v>
      </c>
      <c r="U19" s="370">
        <f t="shared" si="8"/>
        <v>0.82489505707797528</v>
      </c>
      <c r="V19" s="359"/>
      <c r="W19" s="695"/>
      <c r="X19" s="377" t="s">
        <v>1906</v>
      </c>
      <c r="Y19" s="377" t="s">
        <v>1907</v>
      </c>
      <c r="Z19" s="377" t="s">
        <v>1908</v>
      </c>
      <c r="AA19" s="377" t="s">
        <v>1909</v>
      </c>
      <c r="AB19" s="695" t="s">
        <v>1910</v>
      </c>
      <c r="AC19" s="695"/>
    </row>
    <row r="20" spans="1:29">
      <c r="B20" s="372"/>
      <c r="C20" s="372" t="s">
        <v>1790</v>
      </c>
      <c r="D20" s="86">
        <v>0.55000000000000004</v>
      </c>
      <c r="E20" s="372"/>
      <c r="F20" s="372"/>
      <c r="H20" t="s">
        <v>1797</v>
      </c>
      <c r="I20" s="172">
        <f>(I11*I15/D27*I12^2*D9^2*I6/(4*PI())^3/D17)^0.25</f>
        <v>290792.06509325083</v>
      </c>
      <c r="J20" t="s">
        <v>2</v>
      </c>
      <c r="L20" s="363">
        <v>12</v>
      </c>
      <c r="M20" s="363">
        <f t="shared" si="0"/>
        <v>334.40400000000005</v>
      </c>
      <c r="N20" s="364">
        <f t="shared" si="1"/>
        <v>14.460187161050964</v>
      </c>
      <c r="O20" s="364">
        <f t="shared" si="2"/>
        <v>1.1499763581676954</v>
      </c>
      <c r="P20" s="268">
        <f t="shared" si="3"/>
        <v>2.2872010587423008E-4</v>
      </c>
      <c r="Q20" s="268">
        <f t="shared" si="4"/>
        <v>5.7180026468557523</v>
      </c>
      <c r="R20" s="365">
        <f t="shared" si="5"/>
        <v>1168887.8359057116</v>
      </c>
      <c r="S20" s="371">
        <f t="shared" si="6"/>
        <v>0.29570783125817551</v>
      </c>
      <c r="T20" s="364">
        <f t="shared" si="7"/>
        <v>3.7275581884810607E-14</v>
      </c>
      <c r="U20" s="370">
        <f t="shared" si="8"/>
        <v>0.58243096695016583</v>
      </c>
      <c r="W20" s="376" t="s">
        <v>1911</v>
      </c>
      <c r="X20" s="376"/>
      <c r="Y20" s="376"/>
      <c r="Z20" s="376"/>
      <c r="AA20" s="376"/>
      <c r="AB20" s="376"/>
      <c r="AC20" s="376"/>
    </row>
    <row r="21" spans="1:29">
      <c r="B21" s="372"/>
      <c r="C21" s="372"/>
      <c r="D21" s="372"/>
      <c r="E21" s="372"/>
      <c r="F21" s="372"/>
      <c r="H21" s="359" t="s">
        <v>1819</v>
      </c>
      <c r="I21" s="1">
        <f>I20/1000</f>
        <v>290.79206509325081</v>
      </c>
      <c r="J21" s="359" t="s">
        <v>1587</v>
      </c>
      <c r="L21" s="363">
        <v>13</v>
      </c>
      <c r="M21" s="363">
        <f t="shared" si="0"/>
        <v>362.27100000000002</v>
      </c>
      <c r="N21" s="364">
        <f t="shared" si="1"/>
        <v>15.665202757805211</v>
      </c>
      <c r="O21" s="364">
        <f t="shared" si="2"/>
        <v>1.2458077213483367</v>
      </c>
      <c r="P21" s="268">
        <f t="shared" si="3"/>
        <v>1.6605651466713469E-4</v>
      </c>
      <c r="Q21" s="268">
        <f t="shared" si="4"/>
        <v>4.151412866678367</v>
      </c>
      <c r="R21" s="365">
        <f t="shared" si="5"/>
        <v>1371819.7518615646</v>
      </c>
      <c r="S21" s="371">
        <f t="shared" si="6"/>
        <v>0.34704599640716438</v>
      </c>
      <c r="T21" s="364">
        <f t="shared" si="7"/>
        <v>2.7063004305291568E-14</v>
      </c>
      <c r="U21" s="370">
        <f t="shared" si="8"/>
        <v>0.42285944227018085</v>
      </c>
      <c r="W21" s="376" t="s">
        <v>1912</v>
      </c>
      <c r="X21" s="376"/>
      <c r="Y21" s="376"/>
      <c r="Z21" s="376"/>
      <c r="AA21" s="376"/>
      <c r="AB21" s="376"/>
      <c r="AC21" s="376"/>
    </row>
    <row r="22" spans="1:29">
      <c r="C22" s="372" t="s">
        <v>1807</v>
      </c>
      <c r="D22" s="184">
        <v>2</v>
      </c>
      <c r="E22" s="372"/>
      <c r="F22" s="372"/>
      <c r="L22" s="363">
        <v>14</v>
      </c>
      <c r="M22" s="363">
        <f t="shared" si="0"/>
        <v>390.13800000000003</v>
      </c>
      <c r="N22" s="364">
        <f t="shared" si="1"/>
        <v>16.870218354559459</v>
      </c>
      <c r="O22" s="364">
        <f t="shared" si="2"/>
        <v>1.3416390845289778</v>
      </c>
      <c r="P22" s="268">
        <f t="shared" si="3"/>
        <v>1.234574165818418E-4</v>
      </c>
      <c r="Q22" s="268">
        <f t="shared" si="4"/>
        <v>3.0864354145460449</v>
      </c>
      <c r="R22" s="365">
        <f t="shared" si="5"/>
        <v>1590986.2210938854</v>
      </c>
      <c r="S22" s="371">
        <f t="shared" si="6"/>
        <v>0.40249121476807226</v>
      </c>
      <c r="T22" s="364">
        <f t="shared" si="7"/>
        <v>2.0120430705003974E-14</v>
      </c>
      <c r="U22" s="370">
        <f t="shared" si="8"/>
        <v>0.31438172976568718</v>
      </c>
      <c r="W22" s="376" t="s">
        <v>1913</v>
      </c>
      <c r="X22" s="376"/>
      <c r="Y22" s="376"/>
      <c r="Z22" s="376"/>
      <c r="AA22" s="376"/>
      <c r="AB22" s="376"/>
      <c r="AC22" s="376"/>
    </row>
    <row r="23" spans="1:29">
      <c r="B23" s="372" t="s">
        <v>1809</v>
      </c>
      <c r="C23" s="172">
        <f>D11*1.38E-23*D33</f>
        <v>6.0682050000000002E-13</v>
      </c>
      <c r="D23" s="372" t="s">
        <v>344</v>
      </c>
      <c r="E23" s="1">
        <f>LOG10($C$23/0.001)*10</f>
        <v>-92.169397560222649</v>
      </c>
      <c r="F23" s="372" t="s">
        <v>1794</v>
      </c>
      <c r="H23" s="361" t="s">
        <v>1803</v>
      </c>
      <c r="I23" s="167">
        <f>1/D29*D30*300000000/2</f>
        <v>25000.000000000004</v>
      </c>
      <c r="J23" t="s">
        <v>2</v>
      </c>
      <c r="L23" s="363">
        <v>15</v>
      </c>
      <c r="M23" s="363">
        <f t="shared" si="0"/>
        <v>418.00500000000005</v>
      </c>
      <c r="N23" s="364">
        <f t="shared" si="1"/>
        <v>18.075233951313706</v>
      </c>
      <c r="O23" s="364">
        <f t="shared" si="2"/>
        <v>1.4374704477096194</v>
      </c>
      <c r="P23" s="268">
        <f t="shared" si="3"/>
        <v>9.3683755366084559E-5</v>
      </c>
      <c r="Q23" s="268">
        <f t="shared" si="4"/>
        <v>2.3420938841521139</v>
      </c>
      <c r="R23" s="365">
        <f t="shared" si="5"/>
        <v>1826387.2436026752</v>
      </c>
      <c r="S23" s="371">
        <f t="shared" si="6"/>
        <v>0.46204348634089942</v>
      </c>
      <c r="T23" s="364">
        <f t="shared" si="7"/>
        <v>1.5268078340018412E-14</v>
      </c>
      <c r="U23" s="370">
        <f t="shared" si="8"/>
        <v>0.23856372406278772</v>
      </c>
      <c r="W23" s="376" t="s">
        <v>1914</v>
      </c>
      <c r="X23" s="376"/>
      <c r="Y23" s="376"/>
      <c r="Z23" s="376"/>
      <c r="AA23" s="376"/>
      <c r="AB23" s="376"/>
      <c r="AC23" s="376"/>
    </row>
    <row r="24" spans="1:29">
      <c r="B24" s="372" t="s">
        <v>1813</v>
      </c>
      <c r="C24" s="172">
        <f>C23*D22</f>
        <v>1.213641E-12</v>
      </c>
      <c r="D24" s="372" t="s">
        <v>344</v>
      </c>
      <c r="E24" s="1">
        <f>LOG10($C$24/0.001)*10</f>
        <v>-89.159097603582865</v>
      </c>
      <c r="F24" s="372" t="s">
        <v>1794</v>
      </c>
      <c r="H24" s="171" t="s">
        <v>1815</v>
      </c>
      <c r="I24" s="1">
        <f>I23/1000</f>
        <v>25.000000000000004</v>
      </c>
      <c r="J24" t="s">
        <v>1587</v>
      </c>
      <c r="L24" s="363">
        <v>16</v>
      </c>
      <c r="M24" s="363">
        <f t="shared" si="0"/>
        <v>445.87200000000007</v>
      </c>
      <c r="N24" s="364">
        <f t="shared" si="1"/>
        <v>19.280249548067953</v>
      </c>
      <c r="O24" s="364">
        <f t="shared" si="2"/>
        <v>1.5333018108902607</v>
      </c>
      <c r="P24" s="268">
        <f t="shared" si="3"/>
        <v>7.2368470999268052E-5</v>
      </c>
      <c r="Q24" s="268">
        <f t="shared" si="4"/>
        <v>1.8092117749817014</v>
      </c>
      <c r="R24" s="365">
        <f t="shared" si="5"/>
        <v>2078022.8193879328</v>
      </c>
      <c r="S24" s="371">
        <f t="shared" si="6"/>
        <v>0.52570281112564554</v>
      </c>
      <c r="T24" s="364">
        <f t="shared" si="7"/>
        <v>1.1794227080740845E-14</v>
      </c>
      <c r="U24" s="370">
        <f t="shared" si="8"/>
        <v>0.18428479813657578</v>
      </c>
      <c r="W24" s="376" t="s">
        <v>1915</v>
      </c>
      <c r="X24" s="376"/>
      <c r="Y24" s="376"/>
      <c r="Z24" s="376"/>
      <c r="AA24" s="376"/>
      <c r="AB24" s="376"/>
      <c r="AC24" s="376"/>
    </row>
    <row r="25" spans="1:29" s="359" customFormat="1">
      <c r="A25" s="375"/>
      <c r="B25" s="372"/>
      <c r="C25" s="372"/>
      <c r="D25" s="372"/>
      <c r="E25" s="372"/>
      <c r="F25" s="372"/>
      <c r="H25"/>
      <c r="I25"/>
      <c r="J25"/>
      <c r="K25" s="374"/>
      <c r="L25" s="363">
        <v>17</v>
      </c>
      <c r="M25" s="363">
        <f t="shared" si="0"/>
        <v>473.73899999999998</v>
      </c>
      <c r="N25" s="364">
        <f t="shared" si="1"/>
        <v>20.485265144822197</v>
      </c>
      <c r="O25" s="364">
        <f t="shared" si="2"/>
        <v>1.6291331740709016</v>
      </c>
      <c r="P25" s="268">
        <f t="shared" si="3"/>
        <v>5.6785001561380222E-5</v>
      </c>
      <c r="Q25" s="268">
        <f t="shared" si="4"/>
        <v>1.4196250390345055</v>
      </c>
      <c r="R25" s="365">
        <f t="shared" si="5"/>
        <v>2345892.9484496568</v>
      </c>
      <c r="S25" s="371">
        <f t="shared" si="6"/>
        <v>0.59346918912231039</v>
      </c>
      <c r="T25" s="364">
        <f t="shared" si="7"/>
        <v>9.2545164205820462E-15</v>
      </c>
      <c r="U25" s="370">
        <f t="shared" si="8"/>
        <v>0.14460181907159453</v>
      </c>
      <c r="V25"/>
      <c r="W25" s="375"/>
      <c r="X25" s="375"/>
      <c r="Y25" s="375"/>
      <c r="Z25" s="375"/>
      <c r="AA25" s="375"/>
      <c r="AB25" s="375"/>
      <c r="AC25" s="375"/>
    </row>
    <row r="26" spans="1:29" s="359" customFormat="1">
      <c r="A26" s="375"/>
      <c r="B26" s="372"/>
      <c r="C26" s="266" t="s">
        <v>1811</v>
      </c>
      <c r="D26" s="184">
        <v>10</v>
      </c>
      <c r="E26" s="372" t="s">
        <v>1812</v>
      </c>
      <c r="F26" s="372"/>
      <c r="H26" s="361" t="s">
        <v>1803</v>
      </c>
      <c r="I26" s="167">
        <f>300000000/(2*D13)</f>
        <v>1</v>
      </c>
      <c r="J26" s="1" t="s">
        <v>2</v>
      </c>
      <c r="K26" s="1"/>
      <c r="L26" s="363">
        <v>18</v>
      </c>
      <c r="M26" s="363">
        <f t="shared" si="0"/>
        <v>501.60599999999999</v>
      </c>
      <c r="N26" s="364">
        <f t="shared" si="1"/>
        <v>21.690280741576444</v>
      </c>
      <c r="O26" s="364">
        <f t="shared" si="2"/>
        <v>1.724964537251543</v>
      </c>
      <c r="P26" s="268">
        <f t="shared" si="3"/>
        <v>4.5179280172687421E-5</v>
      </c>
      <c r="Q26" s="268">
        <f t="shared" si="4"/>
        <v>1.1294820043171856</v>
      </c>
      <c r="R26" s="365">
        <f t="shared" si="5"/>
        <v>2629997.6307878513</v>
      </c>
      <c r="S26" s="371">
        <f t="shared" si="6"/>
        <v>0.66534262033089486</v>
      </c>
      <c r="T26" s="364">
        <f t="shared" si="7"/>
        <v>7.363077903172465E-15</v>
      </c>
      <c r="U26" s="370">
        <f t="shared" si="8"/>
        <v>0</v>
      </c>
      <c r="V26"/>
      <c r="W26" s="375"/>
      <c r="X26" s="375"/>
      <c r="Y26" s="375"/>
      <c r="Z26" s="375"/>
      <c r="AA26" s="375"/>
      <c r="AB26" s="375"/>
      <c r="AC26" s="375"/>
    </row>
    <row r="27" spans="1:29" s="359" customFormat="1">
      <c r="A27" s="375"/>
      <c r="B27" s="372"/>
      <c r="C27" s="117" t="s">
        <v>1810</v>
      </c>
      <c r="D27" s="172">
        <f>10^(D26/10)*C24</f>
        <v>1.213641E-11</v>
      </c>
      <c r="E27" s="117" t="s">
        <v>344</v>
      </c>
      <c r="F27" s="372"/>
      <c r="G27"/>
      <c r="H27" s="171" t="s">
        <v>1814</v>
      </c>
      <c r="I27" s="18">
        <f>I26/1000</f>
        <v>1E-3</v>
      </c>
      <c r="J27" s="359" t="s">
        <v>1587</v>
      </c>
      <c r="K27" s="374"/>
      <c r="L27" s="363">
        <v>19</v>
      </c>
      <c r="M27" s="363">
        <f t="shared" si="0"/>
        <v>529.47299999999996</v>
      </c>
      <c r="N27" s="364">
        <f t="shared" si="1"/>
        <v>22.895296338330692</v>
      </c>
      <c r="O27" s="364">
        <f t="shared" si="2"/>
        <v>1.8207959004321843</v>
      </c>
      <c r="P27" s="268">
        <f t="shared" si="3"/>
        <v>3.6392754164010667E-5</v>
      </c>
      <c r="Q27" s="268">
        <f t="shared" si="4"/>
        <v>0.90981885410026664</v>
      </c>
      <c r="R27" s="365">
        <f t="shared" si="5"/>
        <v>2930336.8664025133</v>
      </c>
      <c r="S27" s="371">
        <f t="shared" si="6"/>
        <v>0.7413231047513984</v>
      </c>
      <c r="T27" s="364">
        <f t="shared" si="7"/>
        <v>5.9310967991607856E-15</v>
      </c>
      <c r="U27" s="370">
        <f t="shared" si="8"/>
        <v>0</v>
      </c>
      <c r="W27" s="375"/>
      <c r="X27" s="375"/>
      <c r="Y27" s="375"/>
      <c r="Z27" s="375"/>
      <c r="AA27" s="375"/>
      <c r="AB27" s="375"/>
      <c r="AC27" s="375"/>
    </row>
    <row r="28" spans="1:29" s="359" customFormat="1">
      <c r="A28" s="375"/>
      <c r="B28" s="372"/>
      <c r="C28" s="266" t="s">
        <v>1832</v>
      </c>
      <c r="D28" s="184">
        <v>1</v>
      </c>
      <c r="E28" s="372"/>
      <c r="F28" s="372"/>
      <c r="G28"/>
      <c r="K28" s="374"/>
      <c r="L28" s="363">
        <v>20</v>
      </c>
      <c r="M28" s="363">
        <f t="shared" si="0"/>
        <v>557.34</v>
      </c>
      <c r="N28" s="364">
        <f t="shared" si="1"/>
        <v>24.100311935084939</v>
      </c>
      <c r="O28" s="364">
        <f t="shared" si="2"/>
        <v>1.9166272636128256</v>
      </c>
      <c r="P28" s="268">
        <f t="shared" si="3"/>
        <v>2.9642125721300217E-5</v>
      </c>
      <c r="Q28" s="268">
        <f t="shared" si="4"/>
        <v>0.74105314303250547</v>
      </c>
      <c r="R28" s="365">
        <f t="shared" si="5"/>
        <v>3246910.6552936435</v>
      </c>
      <c r="S28" s="371">
        <f t="shared" si="6"/>
        <v>0.82141064238382078</v>
      </c>
      <c r="T28" s="364">
        <f t="shared" si="7"/>
        <v>4.8309154122714548E-15</v>
      </c>
      <c r="U28" s="370">
        <f t="shared" si="8"/>
        <v>0</v>
      </c>
      <c r="W28" s="375"/>
      <c r="X28" s="375"/>
      <c r="Y28" s="375"/>
      <c r="Z28" s="375"/>
      <c r="AA28" s="375"/>
      <c r="AB28" s="375"/>
      <c r="AC28" s="375"/>
    </row>
    <row r="29" spans="1:29">
      <c r="B29" s="372"/>
      <c r="C29" s="372" t="s">
        <v>1800</v>
      </c>
      <c r="D29" s="184">
        <v>300</v>
      </c>
      <c r="E29" s="372" t="s">
        <v>1801</v>
      </c>
      <c r="F29" s="372"/>
      <c r="H29" s="171" t="s">
        <v>1823</v>
      </c>
      <c r="I29" s="172">
        <f>300000000*(1/D29)*(1-D30)/2</f>
        <v>475000.00000000006</v>
      </c>
      <c r="J29" t="s">
        <v>2</v>
      </c>
      <c r="L29" s="363">
        <v>21</v>
      </c>
      <c r="M29" s="363">
        <f t="shared" si="0"/>
        <v>585.20699999999999</v>
      </c>
      <c r="N29" s="364">
        <f t="shared" si="1"/>
        <v>25.305327531839186</v>
      </c>
      <c r="O29" s="364">
        <f t="shared" si="2"/>
        <v>2.012458626793467</v>
      </c>
      <c r="P29" s="268">
        <f t="shared" si="3"/>
        <v>2.4386650189005791E-5</v>
      </c>
      <c r="Q29" s="268">
        <f t="shared" si="4"/>
        <v>0.6096662547251448</v>
      </c>
      <c r="R29" s="365">
        <f t="shared" si="5"/>
        <v>3579718.9974612417</v>
      </c>
      <c r="S29" s="371">
        <f t="shared" si="6"/>
        <v>0.90560523322816244</v>
      </c>
      <c r="T29" s="364">
        <f t="shared" si="7"/>
        <v>3.9744060651859706E-15</v>
      </c>
      <c r="U29" s="370">
        <f t="shared" si="8"/>
        <v>0</v>
      </c>
      <c r="V29" s="359"/>
    </row>
    <row r="30" spans="1:29">
      <c r="B30" s="372"/>
      <c r="C30" s="372" t="s">
        <v>1802</v>
      </c>
      <c r="D30" s="86">
        <v>0.05</v>
      </c>
      <c r="E30" s="372"/>
      <c r="F30" s="372"/>
      <c r="I30" s="1">
        <f>I29/1000</f>
        <v>475.00000000000006</v>
      </c>
      <c r="J30" t="s">
        <v>1587</v>
      </c>
      <c r="L30" s="363">
        <v>22</v>
      </c>
      <c r="M30" s="363">
        <f t="shared" si="0"/>
        <v>613.07400000000007</v>
      </c>
      <c r="N30" s="364">
        <f t="shared" si="1"/>
        <v>26.510343128593433</v>
      </c>
      <c r="O30" s="364">
        <f t="shared" si="2"/>
        <v>2.1082899899741081</v>
      </c>
      <c r="P30" s="268">
        <f t="shared" si="3"/>
        <v>2.0245970713271097E-5</v>
      </c>
      <c r="Q30" s="268">
        <f t="shared" si="4"/>
        <v>0.50614926783177738</v>
      </c>
      <c r="R30" s="365">
        <f t="shared" si="5"/>
        <v>3928761.8929053089</v>
      </c>
      <c r="S30" s="371">
        <f t="shared" si="6"/>
        <v>0.9939068772844234</v>
      </c>
      <c r="T30" s="364">
        <f>MIN($I$7/(PI()*R30^2),1)</f>
        <v>3.2995802283119006E-15</v>
      </c>
      <c r="U30" s="370">
        <f t="shared" si="8"/>
        <v>0</v>
      </c>
      <c r="V30" s="359"/>
    </row>
    <row r="31" spans="1:29">
      <c r="B31" s="372"/>
      <c r="C31" s="117"/>
      <c r="D31" s="362"/>
      <c r="E31" s="117"/>
      <c r="F31" s="372"/>
      <c r="L31" s="363">
        <v>23</v>
      </c>
      <c r="M31" s="363">
        <f t="shared" si="0"/>
        <v>640.94100000000003</v>
      </c>
      <c r="N31" s="364">
        <f t="shared" si="1"/>
        <v>27.715358725347681</v>
      </c>
      <c r="O31" s="364">
        <f t="shared" si="2"/>
        <v>2.2041213531547497</v>
      </c>
      <c r="P31" s="268">
        <f t="shared" si="3"/>
        <v>1.6947981587430128E-5</v>
      </c>
      <c r="Q31" s="268">
        <f t="shared" si="4"/>
        <v>0.42369953968575319</v>
      </c>
      <c r="R31" s="365">
        <f t="shared" si="5"/>
        <v>4294039.3416258432</v>
      </c>
      <c r="S31" s="371">
        <f t="shared" si="6"/>
        <v>1.0863155745526032</v>
      </c>
      <c r="T31" s="364">
        <f>MIN($I$7/(PI()*R31^2),1)</f>
        <v>2.7620915661516103E-15</v>
      </c>
      <c r="U31" s="370">
        <f t="shared" si="8"/>
        <v>0</v>
      </c>
    </row>
    <row r="32" spans="1:29">
      <c r="B32" s="372"/>
      <c r="C32" s="372" t="s">
        <v>1805</v>
      </c>
      <c r="D32" s="184">
        <v>15</v>
      </c>
      <c r="E32" s="672" t="str">
        <f>LOOKUP(D32,Thermal!A:A,Thermal!B:B)</f>
        <v>Life Support</v>
      </c>
      <c r="F32" s="659"/>
      <c r="H32" s="171" t="s">
        <v>1852</v>
      </c>
      <c r="I32" s="172">
        <f>300000000*(1/D29)*D30</f>
        <v>50000.000000000007</v>
      </c>
      <c r="J32" t="s">
        <v>2</v>
      </c>
      <c r="L32" s="363">
        <v>24</v>
      </c>
      <c r="M32" s="363">
        <f t="shared" si="0"/>
        <v>668.80800000000011</v>
      </c>
      <c r="N32" s="364">
        <f t="shared" si="1"/>
        <v>28.920374322101928</v>
      </c>
      <c r="O32" s="364">
        <f t="shared" si="2"/>
        <v>2.2999527163353908</v>
      </c>
      <c r="P32" s="268">
        <f t="shared" si="3"/>
        <v>1.429500661713938E-5</v>
      </c>
      <c r="Q32" s="268">
        <f t="shared" si="4"/>
        <v>0.35737516542848452</v>
      </c>
      <c r="R32" s="365">
        <f t="shared" si="5"/>
        <v>4675551.3436228465</v>
      </c>
      <c r="S32" s="371">
        <f t="shared" si="6"/>
        <v>1.1828313250327021</v>
      </c>
      <c r="T32" s="364">
        <f>MIN($I$7/(PI()*R32^2),1)</f>
        <v>2.3297238678006629E-15</v>
      </c>
      <c r="U32" s="370">
        <f t="shared" si="8"/>
        <v>0</v>
      </c>
    </row>
    <row r="33" spans="1:21">
      <c r="B33" s="372"/>
      <c r="C33" s="372" t="s">
        <v>1694</v>
      </c>
      <c r="D33" s="1">
        <f>LOOKUP(D32,Thermal!A:A,Thermal!C:C)</f>
        <v>293.14999999999998</v>
      </c>
      <c r="E33" s="372" t="s">
        <v>364</v>
      </c>
      <c r="F33" s="372"/>
      <c r="I33" s="1">
        <f>I32/1000</f>
        <v>50.000000000000007</v>
      </c>
      <c r="J33" t="s">
        <v>1587</v>
      </c>
      <c r="L33" s="363">
        <v>25</v>
      </c>
      <c r="M33" s="363">
        <f t="shared" si="0"/>
        <v>696.67500000000007</v>
      </c>
      <c r="N33" s="364">
        <f t="shared" si="1"/>
        <v>30.125389918856175</v>
      </c>
      <c r="O33" s="364">
        <f t="shared" si="2"/>
        <v>2.3957840795160319</v>
      </c>
      <c r="P33" s="268">
        <f t="shared" si="3"/>
        <v>1.2141414695444569E-5</v>
      </c>
      <c r="Q33" s="268">
        <f t="shared" si="4"/>
        <v>0.3035353673861142</v>
      </c>
      <c r="R33" s="365">
        <f t="shared" si="5"/>
        <v>5073297.8988963179</v>
      </c>
      <c r="S33" s="371">
        <f t="shared" si="6"/>
        <v>1.2834541287247201</v>
      </c>
      <c r="T33" s="364">
        <f>MIN($I$7/(PI()*R33^2),1)</f>
        <v>1.9787429528663878E-15</v>
      </c>
      <c r="U33" s="370">
        <f t="shared" si="8"/>
        <v>0</v>
      </c>
    </row>
    <row r="34" spans="1:21">
      <c r="B34" s="372"/>
      <c r="C34" s="359"/>
      <c r="D34" s="359"/>
      <c r="E34" s="359"/>
      <c r="F34" s="359"/>
      <c r="L34" s="374"/>
      <c r="M34" s="374"/>
      <c r="N34" s="374"/>
      <c r="O34" s="374"/>
      <c r="P34" s="374"/>
      <c r="Q34" s="374"/>
      <c r="R34" s="374"/>
      <c r="S34" s="374"/>
      <c r="T34" s="374"/>
      <c r="U34" s="374"/>
    </row>
    <row r="35" spans="1:21" s="359" customFormat="1">
      <c r="A35" s="375"/>
      <c r="K35" s="374"/>
      <c r="L35" s="374"/>
      <c r="M35" s="374"/>
      <c r="N35" s="374"/>
      <c r="O35" s="374"/>
      <c r="P35" s="374"/>
      <c r="Q35" s="374"/>
      <c r="R35" s="374"/>
      <c r="S35" s="374"/>
      <c r="T35" s="374"/>
      <c r="U35" s="374"/>
    </row>
    <row r="36" spans="1:21">
      <c r="L36" s="374"/>
      <c r="M36" s="374"/>
      <c r="N36" s="374"/>
      <c r="O36" s="374"/>
      <c r="P36" s="374"/>
      <c r="Q36" s="374"/>
      <c r="R36" s="374"/>
      <c r="S36" s="374"/>
      <c r="T36" s="374"/>
      <c r="U36" s="374"/>
    </row>
    <row r="38" spans="1:21">
      <c r="B38" s="616" t="s">
        <v>2210</v>
      </c>
      <c r="C38" s="616"/>
      <c r="D38" s="616"/>
      <c r="E38" s="616"/>
    </row>
    <row r="39" spans="1:21">
      <c r="B39" s="616"/>
      <c r="C39" s="616"/>
      <c r="D39" s="616"/>
      <c r="E39" s="616"/>
    </row>
    <row r="41" spans="1:21" ht="14.65" thickBot="1"/>
    <row r="42" spans="1:21" ht="15" thickTop="1" thickBot="1">
      <c r="B42" t="s">
        <v>2088</v>
      </c>
      <c r="G42" t="s">
        <v>1621</v>
      </c>
      <c r="L42" s="684" t="s">
        <v>2099</v>
      </c>
      <c r="M42" s="685"/>
      <c r="N42" s="378">
        <v>1000</v>
      </c>
      <c r="O42" s="686" t="str">
        <f>"W,"&amp;ROUND(N42/1000,1)&amp;"kW"</f>
        <v>W,1kW</v>
      </c>
      <c r="P42" s="687"/>
    </row>
    <row r="43" spans="1:21" ht="15" thickTop="1" thickBot="1">
      <c r="C43" s="171" t="s">
        <v>2089</v>
      </c>
      <c r="D43" s="184">
        <v>3.14</v>
      </c>
      <c r="E43" t="s">
        <v>667</v>
      </c>
      <c r="H43" s="171" t="s">
        <v>2086</v>
      </c>
      <c r="I43" s="184">
        <v>300</v>
      </c>
      <c r="J43" t="s">
        <v>394</v>
      </c>
    </row>
    <row r="44" spans="1:21" ht="15" customHeight="1" thickTop="1" thickBot="1">
      <c r="C44" t="s">
        <v>2091</v>
      </c>
      <c r="D44" s="184">
        <v>10</v>
      </c>
      <c r="E44" t="s">
        <v>338</v>
      </c>
      <c r="I44" s="401"/>
      <c r="L44" s="680" t="s">
        <v>1855</v>
      </c>
      <c r="M44" s="680" t="s">
        <v>2102</v>
      </c>
      <c r="N44" s="682" t="s">
        <v>2103</v>
      </c>
      <c r="O44" s="682" t="s">
        <v>1827</v>
      </c>
      <c r="P44" s="625"/>
      <c r="Q44" s="625"/>
    </row>
    <row r="45" spans="1:21" ht="15" customHeight="1" thickTop="1">
      <c r="H45" t="s">
        <v>2087</v>
      </c>
      <c r="I45" s="172">
        <f>0.002898/I43</f>
        <v>9.6600000000000007E-6</v>
      </c>
      <c r="J45" t="s">
        <v>2</v>
      </c>
      <c r="L45" s="681"/>
      <c r="M45" s="681"/>
      <c r="N45" s="683"/>
      <c r="O45" s="683"/>
      <c r="P45" s="529"/>
      <c r="Q45" s="529"/>
    </row>
    <row r="46" spans="1:21" ht="15" customHeight="1">
      <c r="C46" t="s">
        <v>2094</v>
      </c>
      <c r="D46" s="388">
        <v>5.0000000000000002E-5</v>
      </c>
      <c r="E46" t="s">
        <v>472</v>
      </c>
      <c r="I46" s="1">
        <f>I45*1000000</f>
        <v>9.66</v>
      </c>
      <c r="J46" t="s">
        <v>338</v>
      </c>
      <c r="L46" s="363">
        <v>1</v>
      </c>
      <c r="M46" s="363">
        <f>$N$42*L46/1000</f>
        <v>1</v>
      </c>
      <c r="N46" s="268">
        <f>M46*1000/(0.0000000567*$I$43^4)</f>
        <v>2.1773684325124654</v>
      </c>
      <c r="O46" s="268">
        <f t="shared" ref="O46:O70" si="9">SQRT($I$51*$D$43*N46/(($I$52*$D$46+$D$53)*10^($D$50/10)))/1000</f>
        <v>68.030932927356275</v>
      </c>
      <c r="P46" s="529"/>
      <c r="Q46" s="529"/>
    </row>
    <row r="47" spans="1:21">
      <c r="D47" s="1">
        <f>SQRT(D46*148510610/(4*PI()))</f>
        <v>24.30853640343895</v>
      </c>
      <c r="E47" t="s">
        <v>2184</v>
      </c>
      <c r="I47" s="1"/>
      <c r="L47" s="363">
        <v>2</v>
      </c>
      <c r="M47" s="363">
        <f t="shared" ref="M47:M70" si="10">$N$42*L47/1000</f>
        <v>2</v>
      </c>
      <c r="N47" s="268">
        <f t="shared" ref="N47:N70" si="11">M47*1000/(0.0000000567*$I$43^4)</f>
        <v>4.3547368650249307</v>
      </c>
      <c r="O47" s="268">
        <f t="shared" si="9"/>
        <v>96.210268006761595</v>
      </c>
      <c r="P47" s="529"/>
      <c r="Q47" s="529"/>
    </row>
    <row r="48" spans="1:21">
      <c r="H48" s="171" t="s">
        <v>2092</v>
      </c>
      <c r="I48" s="172">
        <f>2*6.626E-34*299792458^2/(I45^5*(EXP(6.626E-34*299792458/I45/1.38E-23/I43)-1))</f>
        <v>9929536.6820792761</v>
      </c>
      <c r="J48" t="s">
        <v>2090</v>
      </c>
      <c r="L48" s="363">
        <v>3</v>
      </c>
      <c r="M48" s="363">
        <f t="shared" si="10"/>
        <v>3</v>
      </c>
      <c r="N48" s="268">
        <f t="shared" si="11"/>
        <v>6.532105297537397</v>
      </c>
      <c r="O48" s="268">
        <f t="shared" si="9"/>
        <v>117.83303231649155</v>
      </c>
      <c r="P48" s="529"/>
      <c r="Q48" s="529"/>
    </row>
    <row r="49" spans="3:17">
      <c r="C49" s="171" t="s">
        <v>2096</v>
      </c>
      <c r="D49" s="184">
        <v>0</v>
      </c>
      <c r="E49" t="s">
        <v>1812</v>
      </c>
      <c r="H49" s="171" t="s">
        <v>2093</v>
      </c>
      <c r="I49" s="172">
        <f>MIN(2*6.626E-34*299792458^2/((I45+D44/2*0.000001)^5*(EXP(6.626E-34*299792458/(I45+D44/2*0.000001)/1.38E-23/I43)-1)),2*6.626E-34*299792458^2/((I45-D44/2*0.000001)^5*(EXP(6.626E-34*299792458/(I45-D44/2*0.000001)/1.38E-23/I43)-1)))</f>
        <v>1829503.9802889333</v>
      </c>
      <c r="J49" s="401" t="s">
        <v>2090</v>
      </c>
      <c r="L49" s="363">
        <v>4</v>
      </c>
      <c r="M49" s="363">
        <f t="shared" si="10"/>
        <v>4</v>
      </c>
      <c r="N49" s="268">
        <f t="shared" si="11"/>
        <v>8.7094737300498615</v>
      </c>
      <c r="O49" s="268">
        <f t="shared" si="9"/>
        <v>136.06186585471255</v>
      </c>
      <c r="P49" s="529"/>
      <c r="Q49" s="529"/>
    </row>
    <row r="50" spans="3:17">
      <c r="C50" s="171" t="s">
        <v>2098</v>
      </c>
      <c r="D50" s="184">
        <v>10</v>
      </c>
      <c r="E50" t="s">
        <v>1812</v>
      </c>
      <c r="L50" s="363">
        <v>5</v>
      </c>
      <c r="M50" s="363">
        <f t="shared" si="10"/>
        <v>5</v>
      </c>
      <c r="N50" s="268">
        <f t="shared" si="11"/>
        <v>10.886842162562328</v>
      </c>
      <c r="O50" s="268">
        <f t="shared" si="9"/>
        <v>152.12179059829739</v>
      </c>
      <c r="P50" s="529"/>
      <c r="Q50" s="529"/>
    </row>
    <row r="51" spans="3:17">
      <c r="C51" s="171"/>
      <c r="H51" t="s">
        <v>2100</v>
      </c>
      <c r="I51" s="172">
        <f>AVERAGE(I48,I49)*I45</f>
        <v>56.796166399238459</v>
      </c>
      <c r="J51" t="s">
        <v>2101</v>
      </c>
      <c r="L51" s="363">
        <v>6</v>
      </c>
      <c r="M51" s="363">
        <f t="shared" si="10"/>
        <v>6</v>
      </c>
      <c r="N51" s="268">
        <f t="shared" si="11"/>
        <v>13.064210595074794</v>
      </c>
      <c r="O51" s="268">
        <f t="shared" si="9"/>
        <v>166.64107239752954</v>
      </c>
      <c r="P51" s="529"/>
      <c r="Q51" s="529"/>
    </row>
    <row r="52" spans="3:17">
      <c r="C52" s="171" t="s">
        <v>2095</v>
      </c>
      <c r="D52" s="172">
        <f>1.38E-23*D56*(299792458/(D44*0.000001))</f>
        <v>8.3901116465712017E-9</v>
      </c>
      <c r="E52" t="s">
        <v>680</v>
      </c>
      <c r="H52" s="171" t="s">
        <v>2104</v>
      </c>
      <c r="I52" s="172">
        <f>IFERROR(2*6.626E-34*299792458^2/(I45^5*(EXP(6.626E-34*299792458/I45/1.38E-23/2.725)-1))*I45,0)</f>
        <v>4.4911568733971348E-234</v>
      </c>
      <c r="J52" t="s">
        <v>2101</v>
      </c>
      <c r="L52" s="363">
        <v>7</v>
      </c>
      <c r="M52" s="363">
        <f t="shared" si="10"/>
        <v>7</v>
      </c>
      <c r="N52" s="268">
        <f t="shared" si="11"/>
        <v>15.241579027587258</v>
      </c>
      <c r="O52" s="268">
        <f t="shared" si="9"/>
        <v>179.9929299855001</v>
      </c>
      <c r="P52" s="529"/>
      <c r="Q52" s="529"/>
    </row>
    <row r="53" spans="3:17">
      <c r="C53" s="171" t="s">
        <v>2097</v>
      </c>
      <c r="D53" s="172">
        <f>D52*10^(D49/10)</f>
        <v>8.3901116465712017E-9</v>
      </c>
      <c r="E53" t="s">
        <v>680</v>
      </c>
      <c r="H53" t="s">
        <v>2105</v>
      </c>
      <c r="L53" s="363">
        <v>8</v>
      </c>
      <c r="M53" s="363">
        <f t="shared" si="10"/>
        <v>8</v>
      </c>
      <c r="N53" s="268">
        <f t="shared" si="11"/>
        <v>17.418947460099723</v>
      </c>
      <c r="O53" s="268">
        <f t="shared" si="9"/>
        <v>192.42053601352319</v>
      </c>
      <c r="P53" s="529"/>
      <c r="Q53" s="529"/>
    </row>
    <row r="54" spans="3:17">
      <c r="L54" s="363">
        <v>9</v>
      </c>
      <c r="M54" s="363">
        <f t="shared" si="10"/>
        <v>9</v>
      </c>
      <c r="N54" s="268">
        <f t="shared" si="11"/>
        <v>19.596315892612189</v>
      </c>
      <c r="O54" s="268">
        <f t="shared" si="9"/>
        <v>204.0927987820688</v>
      </c>
      <c r="P54" s="529"/>
      <c r="Q54" s="529"/>
    </row>
    <row r="55" spans="3:17">
      <c r="C55" t="s">
        <v>1805</v>
      </c>
      <c r="D55" s="184">
        <v>1</v>
      </c>
      <c r="E55" t="str">
        <f>LOOKUP(D55,Thermal!H3:H6,Thermal!I3:I6)</f>
        <v>Liquid Hydrogen</v>
      </c>
      <c r="L55" s="363">
        <v>10</v>
      </c>
      <c r="M55" s="363">
        <f t="shared" si="10"/>
        <v>10</v>
      </c>
      <c r="N55" s="268">
        <f t="shared" si="11"/>
        <v>21.773684325124655</v>
      </c>
      <c r="O55" s="268">
        <f t="shared" si="9"/>
        <v>215.13269939659216</v>
      </c>
      <c r="P55" s="529"/>
      <c r="Q55" s="529"/>
    </row>
    <row r="56" spans="3:17">
      <c r="C56" t="s">
        <v>1694</v>
      </c>
      <c r="D56">
        <f>LOOKUP(D55,Evaporators[ref],Evaporators[p.change point (K)])</f>
        <v>20.28</v>
      </c>
      <c r="E56" t="s">
        <v>394</v>
      </c>
      <c r="L56" s="363">
        <v>11</v>
      </c>
      <c r="M56" s="363">
        <f t="shared" si="10"/>
        <v>11</v>
      </c>
      <c r="N56" s="268">
        <f t="shared" si="11"/>
        <v>23.951052757637122</v>
      </c>
      <c r="O56" s="268">
        <f t="shared" si="9"/>
        <v>225.63307865787527</v>
      </c>
      <c r="P56" s="529"/>
      <c r="Q56" s="529"/>
    </row>
    <row r="57" spans="3:17">
      <c r="L57" s="363">
        <v>12</v>
      </c>
      <c r="M57" s="363">
        <f t="shared" si="10"/>
        <v>12</v>
      </c>
      <c r="N57" s="268">
        <f t="shared" si="11"/>
        <v>26.128421190149588</v>
      </c>
      <c r="O57" s="268">
        <f t="shared" si="9"/>
        <v>235.66606463298311</v>
      </c>
      <c r="P57" s="529"/>
      <c r="Q57" s="529"/>
    </row>
    <row r="58" spans="3:17">
      <c r="L58" s="363">
        <v>13</v>
      </c>
      <c r="M58" s="363">
        <f t="shared" si="10"/>
        <v>13</v>
      </c>
      <c r="N58" s="268">
        <f t="shared" si="11"/>
        <v>28.305789622662051</v>
      </c>
      <c r="O58" s="268">
        <f t="shared" si="9"/>
        <v>245.28901698723453</v>
      </c>
      <c r="P58" s="529"/>
      <c r="Q58" s="529"/>
    </row>
    <row r="59" spans="3:17">
      <c r="L59" s="363">
        <v>14</v>
      </c>
      <c r="M59" s="363">
        <f t="shared" si="10"/>
        <v>14</v>
      </c>
      <c r="N59" s="268">
        <f t="shared" si="11"/>
        <v>30.483158055174517</v>
      </c>
      <c r="O59" s="268">
        <f t="shared" si="9"/>
        <v>254.54844271676515</v>
      </c>
      <c r="P59" s="529"/>
      <c r="Q59" s="529"/>
    </row>
    <row r="60" spans="3:17">
      <c r="L60" s="363">
        <v>15</v>
      </c>
      <c r="M60" s="363">
        <f t="shared" si="10"/>
        <v>15</v>
      </c>
      <c r="N60" s="268">
        <f t="shared" si="11"/>
        <v>32.66052648768698</v>
      </c>
      <c r="O60" s="268">
        <f t="shared" si="9"/>
        <v>263.48267025460467</v>
      </c>
      <c r="P60" s="529"/>
      <c r="Q60" s="529"/>
    </row>
    <row r="61" spans="3:17">
      <c r="L61" s="363">
        <v>16</v>
      </c>
      <c r="M61" s="363">
        <f t="shared" si="10"/>
        <v>16</v>
      </c>
      <c r="N61" s="268">
        <f t="shared" si="11"/>
        <v>34.837894920199446</v>
      </c>
      <c r="O61" s="268">
        <f t="shared" si="9"/>
        <v>272.1237317094251</v>
      </c>
      <c r="P61" s="529"/>
      <c r="Q61" s="529"/>
    </row>
    <row r="62" spans="3:17">
      <c r="L62" s="363">
        <v>17</v>
      </c>
      <c r="M62" s="363">
        <f t="shared" si="10"/>
        <v>17</v>
      </c>
      <c r="N62" s="268">
        <f t="shared" si="11"/>
        <v>37.015263352711912</v>
      </c>
      <c r="O62" s="268">
        <f t="shared" si="9"/>
        <v>280.49872226880035</v>
      </c>
      <c r="P62" s="529"/>
      <c r="Q62" s="529"/>
    </row>
    <row r="63" spans="3:17">
      <c r="L63" s="363">
        <v>18</v>
      </c>
      <c r="M63" s="363">
        <f t="shared" si="10"/>
        <v>18</v>
      </c>
      <c r="N63" s="268">
        <f t="shared" si="11"/>
        <v>39.192631785224378</v>
      </c>
      <c r="O63" s="268">
        <f t="shared" si="9"/>
        <v>288.63080402028481</v>
      </c>
      <c r="P63" s="529"/>
      <c r="Q63" s="529"/>
    </row>
    <row r="64" spans="3:17">
      <c r="L64" s="363">
        <v>19</v>
      </c>
      <c r="M64" s="363">
        <f t="shared" si="10"/>
        <v>19</v>
      </c>
      <c r="N64" s="268">
        <f t="shared" si="11"/>
        <v>41.370000217736845</v>
      </c>
      <c r="O64" s="268">
        <f t="shared" si="9"/>
        <v>296.53996166513963</v>
      </c>
      <c r="P64" s="529"/>
      <c r="Q64" s="529"/>
    </row>
    <row r="65" spans="12:17">
      <c r="L65" s="363">
        <v>20</v>
      </c>
      <c r="M65" s="363">
        <f t="shared" si="10"/>
        <v>20</v>
      </c>
      <c r="N65" s="268">
        <f t="shared" si="11"/>
        <v>43.547368650249311</v>
      </c>
      <c r="O65" s="268">
        <f t="shared" si="9"/>
        <v>304.24358119659479</v>
      </c>
      <c r="P65" s="529"/>
      <c r="Q65" s="529"/>
    </row>
    <row r="66" spans="12:17">
      <c r="L66" s="363">
        <v>21</v>
      </c>
      <c r="M66" s="363">
        <f t="shared" si="10"/>
        <v>21</v>
      </c>
      <c r="N66" s="268">
        <f t="shared" si="11"/>
        <v>45.724737082761777</v>
      </c>
      <c r="O66" s="268">
        <f t="shared" si="9"/>
        <v>311.7568997380738</v>
      </c>
      <c r="P66" s="529"/>
      <c r="Q66" s="529"/>
    </row>
    <row r="67" spans="12:17">
      <c r="L67" s="363">
        <v>22</v>
      </c>
      <c r="M67" s="363">
        <f t="shared" si="10"/>
        <v>22</v>
      </c>
      <c r="N67" s="268">
        <f t="shared" si="11"/>
        <v>47.902105515274243</v>
      </c>
      <c r="O67" s="268">
        <f t="shared" si="9"/>
        <v>319.09335995796255</v>
      </c>
      <c r="P67" s="529"/>
      <c r="Q67" s="529"/>
    </row>
    <row r="68" spans="12:17">
      <c r="L68" s="363">
        <v>23</v>
      </c>
      <c r="M68" s="363">
        <f t="shared" si="10"/>
        <v>23</v>
      </c>
      <c r="N68" s="268">
        <f t="shared" si="11"/>
        <v>50.07947394778671</v>
      </c>
      <c r="O68" s="268">
        <f t="shared" si="9"/>
        <v>326.2648926933885</v>
      </c>
      <c r="P68" s="529"/>
      <c r="Q68" s="529"/>
    </row>
    <row r="69" spans="12:17">
      <c r="L69" s="363">
        <v>24</v>
      </c>
      <c r="M69" s="363">
        <f t="shared" si="10"/>
        <v>24</v>
      </c>
      <c r="N69" s="268">
        <f t="shared" si="11"/>
        <v>52.256842380299176</v>
      </c>
      <c r="O69" s="268">
        <f t="shared" si="9"/>
        <v>333.28214479505908</v>
      </c>
      <c r="P69" s="529"/>
      <c r="Q69" s="529"/>
    </row>
    <row r="70" spans="12:17">
      <c r="L70" s="363">
        <v>25</v>
      </c>
      <c r="M70" s="363">
        <f t="shared" si="10"/>
        <v>25</v>
      </c>
      <c r="N70" s="268">
        <f t="shared" si="11"/>
        <v>54.434210812811635</v>
      </c>
      <c r="O70" s="268">
        <f t="shared" si="9"/>
        <v>340.15466463678132</v>
      </c>
      <c r="P70" s="529"/>
      <c r="Q70" s="529"/>
    </row>
  </sheetData>
  <mergeCells count="42">
    <mergeCell ref="AB5:AC6"/>
    <mergeCell ref="AB7:AC7"/>
    <mergeCell ref="AB8:AC8"/>
    <mergeCell ref="AB12:AC12"/>
    <mergeCell ref="AB13:AC13"/>
    <mergeCell ref="AB14:AC14"/>
    <mergeCell ref="AB17:AC17"/>
    <mergeCell ref="AB18:AC18"/>
    <mergeCell ref="AB19:AC19"/>
    <mergeCell ref="W11:W19"/>
    <mergeCell ref="X15:X16"/>
    <mergeCell ref="Y15:Y16"/>
    <mergeCell ref="Z15:Z16"/>
    <mergeCell ref="AA15:AA16"/>
    <mergeCell ref="W5:X6"/>
    <mergeCell ref="Y5:Y6"/>
    <mergeCell ref="AA5:AA6"/>
    <mergeCell ref="W7:W10"/>
    <mergeCell ref="X9:X10"/>
    <mergeCell ref="Y9:Y10"/>
    <mergeCell ref="Z9:Z10"/>
    <mergeCell ref="AA9:AA10"/>
    <mergeCell ref="Z5:Z6"/>
    <mergeCell ref="E32:F32"/>
    <mergeCell ref="B14:E14"/>
    <mergeCell ref="T7:U7"/>
    <mergeCell ref="B2:E3"/>
    <mergeCell ref="R7:S7"/>
    <mergeCell ref="P7:Q7"/>
    <mergeCell ref="N7:O7"/>
    <mergeCell ref="M7:M8"/>
    <mergeCell ref="L7:L8"/>
    <mergeCell ref="L5:M5"/>
    <mergeCell ref="O5:P5"/>
    <mergeCell ref="L44:L45"/>
    <mergeCell ref="M44:M45"/>
    <mergeCell ref="N44:N45"/>
    <mergeCell ref="O44:O45"/>
    <mergeCell ref="B38:E39"/>
    <mergeCell ref="L42:M42"/>
    <mergeCell ref="O42:P42"/>
    <mergeCell ref="P44:Q44"/>
  </mergeCells>
  <dataValidations count="5">
    <dataValidation type="decimal" operator="greaterThan" allowBlank="1" showInputMessage="1" showErrorMessage="1" sqref="D6 D8 D18 I6:I7 D29 D26 D16 I43" xr:uid="{1906A9BD-AA1C-491C-955D-267E2730A8CD}">
      <formula1>0</formula1>
    </dataValidation>
    <dataValidation type="decimal" allowBlank="1" showInputMessage="1" showErrorMessage="1" sqref="D7 D30 D20" xr:uid="{AFF8894B-2ECB-4FE1-B6F4-16710A0B72B5}">
      <formula1>0</formula1>
      <formula2>1</formula2>
    </dataValidation>
    <dataValidation type="whole" operator="greaterThan" allowBlank="1" showInputMessage="1" showErrorMessage="1" sqref="D28" xr:uid="{DA376312-051B-4AA0-A52A-067AF74A7E3E}">
      <formula1>0</formula1>
    </dataValidation>
    <dataValidation type="decimal" allowBlank="1" showInputMessage="1" showErrorMessage="1" sqref="D44" xr:uid="{1718F724-201A-4E2B-AA7C-042487D249D4}">
      <formula1>1</formula1>
      <formula2>10</formula2>
    </dataValidation>
    <dataValidation type="decimal" allowBlank="1" showInputMessage="1" showErrorMessage="1" sqref="D46" xr:uid="{73415EEA-90AC-4B88-919F-81C95E79224A}">
      <formula1>0</formula1>
      <formula2>12.566</formula2>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2B981-CB65-4018-99DB-89C244D3C1B7}">
  <sheetPr codeName="Sheet11">
    <tabColor theme="4"/>
  </sheetPr>
  <dimension ref="A2:Z72"/>
  <sheetViews>
    <sheetView topLeftCell="A25" zoomScale="84" workbookViewId="0">
      <selection activeCell="C7" sqref="C7"/>
    </sheetView>
  </sheetViews>
  <sheetFormatPr defaultColWidth="8.1328125" defaultRowHeight="14.25"/>
  <cols>
    <col min="1" max="1" width="3.59765625" customWidth="1"/>
    <col min="4" max="4" width="8.1328125" customWidth="1"/>
    <col min="6" max="6" width="8.1328125" customWidth="1"/>
    <col min="7" max="7" width="8.6640625" customWidth="1"/>
    <col min="12" max="12" width="8.1328125" customWidth="1"/>
    <col min="13" max="13" width="10.19921875" customWidth="1"/>
    <col min="14" max="14" width="7.796875" customWidth="1"/>
  </cols>
  <sheetData>
    <row r="2" spans="1:16">
      <c r="A2" t="s">
        <v>870</v>
      </c>
      <c r="J2" s="38" t="s">
        <v>871</v>
      </c>
    </row>
    <row r="3" spans="1:16" s="38" customFormat="1">
      <c r="C3" s="38" t="s">
        <v>905</v>
      </c>
      <c r="D3" s="70">
        <v>1.25</v>
      </c>
      <c r="J3" t="s">
        <v>903</v>
      </c>
    </row>
    <row r="4" spans="1:16">
      <c r="A4" t="s">
        <v>842</v>
      </c>
      <c r="D4" s="262" t="str">
        <f>ROUND(D9,0)&amp;"mm/"&amp;ROUND(D12,0)&amp;" calibers gun"</f>
        <v>23mm/60 calibers gun</v>
      </c>
      <c r="J4" s="530" t="s">
        <v>2203</v>
      </c>
    </row>
    <row r="5" spans="1:16" s="38" customFormat="1">
      <c r="B5" s="38" t="s">
        <v>844</v>
      </c>
    </row>
    <row r="6" spans="1:16">
      <c r="B6" s="70">
        <v>182</v>
      </c>
      <c r="C6" s="596" t="str">
        <f>LOOKUP(B6,Material!A:A,Material!B:B)</f>
        <v>Martensitic Stainless Steel</v>
      </c>
      <c r="D6" s="596"/>
      <c r="E6" s="596"/>
      <c r="F6" s="13" t="s">
        <v>347</v>
      </c>
      <c r="G6" s="5">
        <f>LOOKUP(B6,Materials[[#All],[Refe-rence]],Materials[[#All],[Density (kg/m3)]])</f>
        <v>7740</v>
      </c>
      <c r="H6" s="38" t="s">
        <v>348</v>
      </c>
      <c r="J6" t="s">
        <v>287</v>
      </c>
    </row>
    <row r="7" spans="1:16" ht="14.65" thickBot="1">
      <c r="C7" t="s">
        <v>2386</v>
      </c>
      <c r="D7" s="6">
        <f>IF(G13,SQRT(G9/G15/PI()),G14)</f>
        <v>1.8840099092070867E-2</v>
      </c>
      <c r="E7" t="s">
        <v>2</v>
      </c>
      <c r="F7" s="13" t="s">
        <v>350</v>
      </c>
      <c r="G7" s="5">
        <f ca="1">LOOKUP(B6,Materials[[#All],[Refe-rence]],Materials[Yield Strength (Mpa)])</f>
        <v>1655</v>
      </c>
      <c r="H7" s="38" t="s">
        <v>898</v>
      </c>
      <c r="K7" t="s">
        <v>843</v>
      </c>
    </row>
    <row r="8" spans="1:16" ht="15" thickTop="1" thickBot="1">
      <c r="C8" t="s">
        <v>913</v>
      </c>
      <c r="D8" s="591">
        <v>1.15E-2</v>
      </c>
      <c r="E8" t="s">
        <v>2</v>
      </c>
      <c r="F8" t="s">
        <v>896</v>
      </c>
      <c r="G8" s="16">
        <f>PI()*D8^2*D11</f>
        <v>5.7626469664246588E-4</v>
      </c>
      <c r="H8" t="s">
        <v>850</v>
      </c>
      <c r="L8" t="s">
        <v>706</v>
      </c>
      <c r="M8" s="98">
        <f>1482*(D20/D35)^0.4892</f>
        <v>1486.3871249010494</v>
      </c>
      <c r="N8" t="s">
        <v>16</v>
      </c>
      <c r="P8" s="5"/>
    </row>
    <row r="9" spans="1:16" ht="14.65" thickTop="1">
      <c r="C9" s="83" t="s">
        <v>856</v>
      </c>
      <c r="D9">
        <f>D8*2000</f>
        <v>23</v>
      </c>
      <c r="E9" t="s">
        <v>12</v>
      </c>
      <c r="F9" t="s">
        <v>895</v>
      </c>
      <c r="G9" s="16">
        <f>(D20/G19)/D22</f>
        <v>1.1151062194596853E-4</v>
      </c>
      <c r="H9" t="s">
        <v>850</v>
      </c>
    </row>
    <row r="10" spans="1:16">
      <c r="D10" s="4">
        <f>D8*2/0.0254</f>
        <v>0.9055118110236221</v>
      </c>
      <c r="E10" t="s">
        <v>859</v>
      </c>
      <c r="G10" s="4">
        <f>G9*61023.74409</f>
        <v>6.8047956569475216</v>
      </c>
      <c r="H10" t="s">
        <v>861</v>
      </c>
      <c r="K10" t="s">
        <v>846</v>
      </c>
    </row>
    <row r="11" spans="1:16" ht="14.65" thickBot="1">
      <c r="C11" t="s">
        <v>897</v>
      </c>
      <c r="D11" s="70">
        <v>1.387</v>
      </c>
      <c r="E11" t="s">
        <v>2</v>
      </c>
      <c r="F11" s="38" t="s">
        <v>851</v>
      </c>
      <c r="G11" s="4">
        <f>(G9+G8)/G9</f>
        <v>6.1678009375796483</v>
      </c>
      <c r="L11" s="74" t="s">
        <v>364</v>
      </c>
      <c r="M11" s="75">
        <f>SQRT(G20*(1-(1/G11)^(G22-1)))</f>
        <v>1377.0563435672493</v>
      </c>
    </row>
    <row r="12" spans="1:16" ht="15" thickTop="1" thickBot="1">
      <c r="D12" s="5">
        <f>D11/(2*D8)</f>
        <v>60.304347826086961</v>
      </c>
      <c r="E12" t="s">
        <v>849</v>
      </c>
      <c r="L12" t="s">
        <v>706</v>
      </c>
      <c r="M12" s="99">
        <f>M11*SQRT(2*D20/D35)</f>
        <v>1953.3442117110296</v>
      </c>
      <c r="N12" t="s">
        <v>16</v>
      </c>
    </row>
    <row r="13" spans="1:16" ht="14.65" thickTop="1">
      <c r="D13" s="4">
        <f>D10*D12</f>
        <v>54.606299212598429</v>
      </c>
      <c r="E13" t="s">
        <v>859</v>
      </c>
      <c r="F13" s="171" t="s">
        <v>2384</v>
      </c>
      <c r="G13" s="74" t="b">
        <v>1</v>
      </c>
      <c r="H13" t="str">
        <f>IF(G13,"by length","by radius")</f>
        <v>by length</v>
      </c>
      <c r="L13" t="s">
        <v>857</v>
      </c>
      <c r="M13" s="5">
        <f>1/2*D35*M12^2</f>
        <v>314783.17277756118</v>
      </c>
      <c r="N13" t="s">
        <v>27</v>
      </c>
    </row>
    <row r="14" spans="1:16">
      <c r="C14" t="s">
        <v>855</v>
      </c>
      <c r="D14" s="70">
        <v>0</v>
      </c>
      <c r="E14" t="str">
        <f>IF(D14&gt;0,"bores per turn","smoothbore")</f>
        <v>smoothbore</v>
      </c>
      <c r="F14" s="13"/>
      <c r="G14" s="184">
        <v>0.1</v>
      </c>
      <c r="H14" t="s">
        <v>2</v>
      </c>
    </row>
    <row r="15" spans="1:16">
      <c r="C15" t="s">
        <v>862</v>
      </c>
      <c r="D15" s="70">
        <v>270</v>
      </c>
      <c r="E15" t="s">
        <v>394</v>
      </c>
      <c r="F15" t="s">
        <v>1098</v>
      </c>
      <c r="G15" s="1">
        <f>IF(G13,G14,(G9)/(PI()*D7^2))</f>
        <v>0.1</v>
      </c>
      <c r="H15" t="s">
        <v>2</v>
      </c>
      <c r="K15" t="s">
        <v>854</v>
      </c>
    </row>
    <row r="16" spans="1:16">
      <c r="C16" t="s">
        <v>858</v>
      </c>
      <c r="D16" s="70">
        <v>100</v>
      </c>
      <c r="E16" t="s">
        <v>1</v>
      </c>
      <c r="F16" s="148"/>
      <c r="G16" s="1">
        <f>G15/D8</f>
        <v>8.6956521739130448</v>
      </c>
      <c r="H16" t="s">
        <v>2034</v>
      </c>
      <c r="L16" t="s">
        <v>872</v>
      </c>
      <c r="M16" s="5">
        <f>D20*G20</f>
        <v>845825.74451853521</v>
      </c>
      <c r="N16" t="s">
        <v>27</v>
      </c>
    </row>
    <row r="17" spans="1:18">
      <c r="F17" t="s">
        <v>2385</v>
      </c>
      <c r="G17" s="1">
        <f>G15/(D7*2)</f>
        <v>2.6539138544681666</v>
      </c>
      <c r="K17" t="s">
        <v>864</v>
      </c>
    </row>
    <row r="18" spans="1:18">
      <c r="B18" t="s">
        <v>838</v>
      </c>
      <c r="L18" t="s">
        <v>873</v>
      </c>
      <c r="M18" s="5">
        <f>M16-SUM(M19:M23)-M26</f>
        <v>531042.57174097409</v>
      </c>
      <c r="N18" t="s">
        <v>27</v>
      </c>
      <c r="O18" s="47">
        <f t="shared" ref="O18:O23" si="0">M18/$M$16</f>
        <v>0.62783921532591391</v>
      </c>
      <c r="Q18" t="s">
        <v>874</v>
      </c>
      <c r="R18" s="47">
        <f t="shared" ref="R18:R23" si="1">O18</f>
        <v>0.62783921532591391</v>
      </c>
    </row>
    <row r="19" spans="1:18">
      <c r="B19" s="70">
        <v>1</v>
      </c>
      <c r="C19" s="596" t="str">
        <f>LOOKUP(B19,Explosive!J:J,Explosive!K:K)</f>
        <v>Nitrocellulose</v>
      </c>
      <c r="D19" s="596"/>
      <c r="E19" s="596"/>
      <c r="F19" s="13" t="s">
        <v>347</v>
      </c>
      <c r="G19">
        <f>LOOKUP(LOOKUP(B19,Explosive!J:J,Explosive!L:L),Materials[[#All],[Refe-rence]],Materials[[#All],[Density (kg/m3)]])</f>
        <v>1490</v>
      </c>
      <c r="H19" t="s">
        <v>348</v>
      </c>
      <c r="L19" t="s">
        <v>868</v>
      </c>
      <c r="M19" s="5">
        <f>M25^2/6*D20</f>
        <v>67894.073472272241</v>
      </c>
      <c r="N19" t="s">
        <v>27</v>
      </c>
      <c r="O19" s="47">
        <f t="shared" si="0"/>
        <v>8.0269575515130739E-2</v>
      </c>
      <c r="Q19" t="s">
        <v>876</v>
      </c>
      <c r="R19" s="47">
        <f t="shared" si="1"/>
        <v>8.0269575515130739E-2</v>
      </c>
    </row>
    <row r="20" spans="1:18">
      <c r="B20" s="38"/>
      <c r="C20" s="38" t="s">
        <v>840</v>
      </c>
      <c r="D20" s="70">
        <v>0.16600000000000001</v>
      </c>
      <c r="E20" s="38" t="s">
        <v>1</v>
      </c>
      <c r="F20" s="38" t="s">
        <v>848</v>
      </c>
      <c r="G20" s="92">
        <f>LOOKUP(B19,Explosive!J:J,Explosive!W:W)*1000000</f>
        <v>5095335.8103526216</v>
      </c>
      <c r="H20" s="38" t="s">
        <v>847</v>
      </c>
      <c r="L20" t="s">
        <v>867</v>
      </c>
      <c r="M20" s="5">
        <f>IF(D14&gt;0,D36/2*(2*PI()/(D14*D8))^2,0)*M25^2</f>
        <v>0</v>
      </c>
      <c r="N20" t="s">
        <v>27</v>
      </c>
      <c r="O20" s="47">
        <f t="shared" si="0"/>
        <v>0</v>
      </c>
      <c r="Q20" t="s">
        <v>867</v>
      </c>
      <c r="R20" s="47">
        <f t="shared" si="1"/>
        <v>0</v>
      </c>
    </row>
    <row r="21" spans="1:18">
      <c r="B21" s="38"/>
      <c r="D21" s="4">
        <f>D20/0.4536</f>
        <v>0.36596119929453264</v>
      </c>
      <c r="E21" s="38" t="s">
        <v>860</v>
      </c>
      <c r="F21" t="s">
        <v>863</v>
      </c>
      <c r="G21" s="5">
        <f>LOOKUP(B19,Explosive!J:J,Explosive!T:T)</f>
        <v>4210.8741620762221</v>
      </c>
      <c r="H21" s="38" t="s">
        <v>394</v>
      </c>
      <c r="L21" t="s">
        <v>869</v>
      </c>
      <c r="M21" s="5">
        <f>(D35+D20/2)^2/(2*D16)*M25^2</f>
        <v>754.654896657584</v>
      </c>
      <c r="N21" t="s">
        <v>27</v>
      </c>
      <c r="O21" s="47">
        <f t="shared" si="0"/>
        <v>8.9221083840046998E-4</v>
      </c>
      <c r="Q21" t="s">
        <v>869</v>
      </c>
      <c r="R21" s="47">
        <f t="shared" si="1"/>
        <v>8.9221083840046998E-4</v>
      </c>
    </row>
    <row r="22" spans="1:18">
      <c r="B22" s="38"/>
      <c r="C22" s="13" t="s">
        <v>894</v>
      </c>
      <c r="D22" s="86">
        <v>0.9990922302194386</v>
      </c>
      <c r="E22" s="38"/>
      <c r="F22" s="38" t="s">
        <v>785</v>
      </c>
      <c r="G22" s="4">
        <f>LOOKUP(B19,Explosive!J:J,Explosive!X:X)</f>
        <v>1.2558458383008151</v>
      </c>
      <c r="H22" s="38"/>
      <c r="L22" s="84" t="s">
        <v>865</v>
      </c>
      <c r="M22" s="5">
        <f>0.38*(D10)^1.5*(D13+G10/(PI()*D10^2/4))*(G21-D15)/(1+0.6*D10^2.175/D21^0.8375)</f>
        <v>39630.12093784663</v>
      </c>
      <c r="N22" t="s">
        <v>27</v>
      </c>
      <c r="O22" s="47">
        <f t="shared" si="0"/>
        <v>4.68537653230277E-2</v>
      </c>
      <c r="Q22" t="s">
        <v>865</v>
      </c>
      <c r="R22" s="47">
        <f t="shared" si="1"/>
        <v>4.68537653230277E-2</v>
      </c>
    </row>
    <row r="23" spans="1:18">
      <c r="L23" t="s">
        <v>866</v>
      </c>
      <c r="M23" s="5">
        <f>IF(D14=0,0.02,IF(D9&lt;=50,0.1,0.05))*M26</f>
        <v>4049.1043817800919</v>
      </c>
      <c r="N23" t="s">
        <v>27</v>
      </c>
      <c r="O23" s="47">
        <f t="shared" si="0"/>
        <v>4.7871614313240623E-3</v>
      </c>
      <c r="Q23" t="s">
        <v>866</v>
      </c>
      <c r="R23" s="47">
        <f t="shared" si="1"/>
        <v>4.7871614313240623E-3</v>
      </c>
    </row>
    <row r="24" spans="1:18" ht="14.65" thickBot="1">
      <c r="L24" s="74" t="s">
        <v>364</v>
      </c>
      <c r="M24" s="78">
        <f>(D20/6+D35/2+(D35+D20/2)^2/(2*D16)+IF(D14&gt;0,(2*PI()/(D14*D8))^2*D36/2,0)+IF(D14=0,0.02,IF(D9&lt;=50,0.1,0.05))*D35/2)</f>
        <v>0.11212418666666668</v>
      </c>
      <c r="Q24" t="s">
        <v>875</v>
      </c>
      <c r="R24" s="47">
        <f>O26</f>
        <v>0.23935807156620312</v>
      </c>
    </row>
    <row r="25" spans="1:18" ht="15" thickTop="1" thickBot="1">
      <c r="A25" s="38" t="s">
        <v>883</v>
      </c>
      <c r="C25" s="38"/>
      <c r="D25" s="262" t="str">
        <f>ROUND(D68,0)&amp;"x"&amp;ROUND(G67,0)&amp;"mm with "&amp;ROUND(D69,0)&amp;"mm subcaliber munition"</f>
        <v>23x100mm with 9mm subcaliber munition</v>
      </c>
      <c r="E25" s="38"/>
      <c r="F25" s="38"/>
      <c r="G25" s="38"/>
      <c r="H25" s="38"/>
      <c r="L25" t="s">
        <v>706</v>
      </c>
      <c r="M25" s="98">
        <f>SQRT((M13-M22)/M24)</f>
        <v>1566.525663889455</v>
      </c>
      <c r="N25" t="s">
        <v>16</v>
      </c>
    </row>
    <row r="26" spans="1:18" ht="14.65" thickTop="1">
      <c r="B26" t="s">
        <v>881</v>
      </c>
      <c r="L26" t="s">
        <v>857</v>
      </c>
      <c r="M26" s="5">
        <f>1/2*D35*M25^2</f>
        <v>202455.21908900459</v>
      </c>
      <c r="N26" t="s">
        <v>27</v>
      </c>
      <c r="O26" s="47">
        <f>M26/$M$16</f>
        <v>0.23935807156620312</v>
      </c>
    </row>
    <row r="27" spans="1:18">
      <c r="B27" s="70">
        <v>192</v>
      </c>
      <c r="C27" s="596" t="str">
        <f>LOOKUP(B27,Material!A:A,Material!B:B)</f>
        <v>Vanadium Chromium Steel</v>
      </c>
      <c r="D27" s="596"/>
      <c r="E27" s="596"/>
      <c r="F27" s="13" t="s">
        <v>347</v>
      </c>
      <c r="G27" s="5">
        <f>LOOKUP(B27,Materials[[#All],[Refe-rence]],Materials[[#All],[Density (kg/m3)]])</f>
        <v>7450</v>
      </c>
      <c r="H27" s="38" t="s">
        <v>348</v>
      </c>
      <c r="M27" s="5"/>
      <c r="O27" s="101"/>
    </row>
    <row r="28" spans="1:18" s="38" customFormat="1">
      <c r="C28" s="38" t="s">
        <v>4</v>
      </c>
      <c r="D28" s="70">
        <v>6.5000000000000002E-2</v>
      </c>
      <c r="E28" s="38" t="s">
        <v>1</v>
      </c>
      <c r="F28" s="38" t="s">
        <v>884</v>
      </c>
      <c r="G28" s="4">
        <f>(D28/G27)/(PI()*(D8^2-D33^2))</f>
        <v>2.4796431689772767E-2</v>
      </c>
      <c r="H28" s="38" t="s">
        <v>2</v>
      </c>
      <c r="M28" s="5"/>
    </row>
    <row r="29" spans="1:18" s="38" customFormat="1">
      <c r="F29" s="38" t="s">
        <v>350</v>
      </c>
      <c r="G29" s="5">
        <f ca="1">LOOKUP(B27,Materials[[#All],[Refe-rence]],Materials[Yield Strength (Mpa)])</f>
        <v>505</v>
      </c>
      <c r="H29" s="38" t="s">
        <v>898</v>
      </c>
      <c r="M29" s="5"/>
    </row>
    <row r="30" spans="1:18" s="38" customFormat="1">
      <c r="B30" s="38" t="s">
        <v>882</v>
      </c>
      <c r="M30" s="5"/>
    </row>
    <row r="31" spans="1:18">
      <c r="B31" s="70">
        <v>90</v>
      </c>
      <c r="C31" s="596" t="str">
        <f>LOOKUP(B31,Material!A:A,Material!B:B)</f>
        <v>Depleted Uranium</v>
      </c>
      <c r="D31" s="596"/>
      <c r="E31" s="596"/>
      <c r="F31" s="13" t="s">
        <v>347</v>
      </c>
      <c r="G31" s="5">
        <f>LOOKUP(B31,Materials[[#All],[Refe-rence]],Materials[[#All],[Density (kg/m3)]])</f>
        <v>19100</v>
      </c>
      <c r="H31" s="38" t="s">
        <v>348</v>
      </c>
      <c r="M31" s="5"/>
    </row>
    <row r="32" spans="1:18">
      <c r="B32" s="38"/>
      <c r="C32" s="84" t="s">
        <v>4</v>
      </c>
      <c r="D32" s="70">
        <v>0.1</v>
      </c>
      <c r="E32" s="38" t="s">
        <v>1</v>
      </c>
      <c r="F32" s="13" t="s">
        <v>350</v>
      </c>
      <c r="G32" s="5">
        <f ca="1">LOOKUP(B31,Materials[[#All],[Refe-rence]],Materials[Yield Strength (Mpa)])</f>
        <v>965</v>
      </c>
      <c r="H32" t="s">
        <v>898</v>
      </c>
    </row>
    <row r="33" spans="1:26" s="38" customFormat="1">
      <c r="C33" s="84" t="s">
        <v>5</v>
      </c>
      <c r="D33" s="70">
        <v>4.4999999999999997E-3</v>
      </c>
      <c r="E33" s="38" t="s">
        <v>2</v>
      </c>
      <c r="F33" s="38" t="s">
        <v>885</v>
      </c>
      <c r="G33" s="1">
        <f>(D32/G31)/(PI()*D33^2)</f>
        <v>8.229846452945272E-2</v>
      </c>
      <c r="H33" s="38" t="s">
        <v>2</v>
      </c>
    </row>
    <row r="34" spans="1:26" s="38" customFormat="1">
      <c r="C34" s="85" t="s">
        <v>856</v>
      </c>
      <c r="D34">
        <f>D33*1000*2</f>
        <v>9</v>
      </c>
      <c r="E34" t="s">
        <v>12</v>
      </c>
      <c r="G34" s="1">
        <f>G33*1000</f>
        <v>82.298464529452716</v>
      </c>
      <c r="H34" s="38" t="s">
        <v>12</v>
      </c>
    </row>
    <row r="35" spans="1:26">
      <c r="C35" s="14" t="s">
        <v>899</v>
      </c>
      <c r="D35" s="38">
        <f>D28+D32</f>
        <v>0.16500000000000001</v>
      </c>
      <c r="E35" s="38" t="s">
        <v>1</v>
      </c>
      <c r="F35" s="38" t="s">
        <v>880</v>
      </c>
      <c r="G35" s="1">
        <f>G33/(2*D33)</f>
        <v>9.1442738366058585</v>
      </c>
    </row>
    <row r="36" spans="1:26">
      <c r="C36" s="85" t="s">
        <v>900</v>
      </c>
      <c r="D36" s="21">
        <f>D35*D8^2/2</f>
        <v>1.0910625E-5</v>
      </c>
      <c r="E36" s="38" t="s">
        <v>920</v>
      </c>
      <c r="F36" s="39"/>
    </row>
    <row r="37" spans="1:26" s="38" customFormat="1">
      <c r="C37" s="85"/>
      <c r="D37" s="16"/>
    </row>
    <row r="38" spans="1:26">
      <c r="A38" t="s">
        <v>878</v>
      </c>
    </row>
    <row r="39" spans="1:26">
      <c r="C39" t="s">
        <v>383</v>
      </c>
      <c r="D39" s="1">
        <f>SQRT(G20*(1))*SQRT(2*D20/D35)</f>
        <v>3201.9421086102316</v>
      </c>
      <c r="E39" s="16"/>
      <c r="F39" t="s">
        <v>886</v>
      </c>
      <c r="G39" s="1">
        <f>(1+D20/(2*D35))*D35/(PI()*D8^2)*(4*D39^2/(27*D41)+D42)/1000000</f>
        <v>627.86893857785446</v>
      </c>
      <c r="H39" t="s">
        <v>887</v>
      </c>
      <c r="I39" s="1">
        <f>D41/2</f>
        <v>0.72399790860883317</v>
      </c>
      <c r="J39" t="s">
        <v>2</v>
      </c>
      <c r="Z39" s="1"/>
    </row>
    <row r="40" spans="1:26" ht="14.65" thickBot="1">
      <c r="C40" t="s">
        <v>690</v>
      </c>
      <c r="D40" s="5">
        <f>LOOKUP(B19,Explosive!J:J,Explosive!Z:Z)</f>
        <v>207127.00415202006</v>
      </c>
      <c r="E40" t="s">
        <v>16</v>
      </c>
      <c r="F40" t="s">
        <v>889</v>
      </c>
      <c r="G40" s="1">
        <f>G39/(1+D20/(2*D35))</f>
        <v>417.7353825215564</v>
      </c>
      <c r="H40" s="38" t="s">
        <v>887</v>
      </c>
      <c r="I40" s="1">
        <f>I39</f>
        <v>0.72399790860883317</v>
      </c>
      <c r="J40" t="s">
        <v>2</v>
      </c>
    </row>
    <row r="41" spans="1:26" ht="14.65" thickTop="1">
      <c r="C41" t="s">
        <v>293</v>
      </c>
      <c r="D41" s="4">
        <f>D40*(1-D20/(G9*G19))*(G9/D35)^(2/3)</f>
        <v>1.4479958172176663</v>
      </c>
      <c r="E41" t="s">
        <v>2</v>
      </c>
      <c r="F41" s="674" t="str">
        <f ca="1">IF(G40&gt;G29,"Sabot yield strength exceeded","Sabot OK")</f>
        <v>Sabot OK</v>
      </c>
      <c r="G41" s="698"/>
      <c r="H41" s="675"/>
    </row>
    <row r="42" spans="1:26">
      <c r="C42" t="s">
        <v>567</v>
      </c>
      <c r="D42" s="5">
        <f>M23/D11</f>
        <v>2919.3254374766343</v>
      </c>
      <c r="E42" t="s">
        <v>412</v>
      </c>
      <c r="F42" s="676" t="str">
        <f ca="1">IF(G40&gt;G32,"Projectile yield strength exceeded","Projectile OK")</f>
        <v>Projectile OK</v>
      </c>
      <c r="G42" s="699"/>
      <c r="H42" s="677"/>
    </row>
    <row r="43" spans="1:26" ht="14.65" thickBot="1">
      <c r="C43" t="s">
        <v>890</v>
      </c>
      <c r="D43" s="1">
        <f>V47-M25</f>
        <v>-1.7051434042514302E-8</v>
      </c>
      <c r="E43" t="s">
        <v>16</v>
      </c>
      <c r="F43" s="700" t="str">
        <f>IF(I39&gt;D11,"Burnout occurred outside barrel","Burnout contained,OK")</f>
        <v>Burnout contained,OK</v>
      </c>
      <c r="G43" s="701"/>
      <c r="H43" s="702"/>
      <c r="N43" s="38"/>
    </row>
    <row r="44" spans="1:26" ht="14.65" thickTop="1"/>
    <row r="45" spans="1:26">
      <c r="A45" s="89" t="s">
        <v>879</v>
      </c>
      <c r="B45" s="87">
        <v>0</v>
      </c>
      <c r="C45" s="87">
        <v>5</v>
      </c>
      <c r="D45" s="87">
        <v>10</v>
      </c>
      <c r="E45" s="87">
        <v>15</v>
      </c>
      <c r="F45" s="87">
        <v>20</v>
      </c>
      <c r="G45" s="87">
        <v>25</v>
      </c>
      <c r="H45" s="87">
        <v>30</v>
      </c>
      <c r="I45" s="87">
        <v>35</v>
      </c>
      <c r="J45" s="87">
        <v>40</v>
      </c>
      <c r="K45" s="87">
        <v>45</v>
      </c>
      <c r="L45" s="87">
        <v>50</v>
      </c>
      <c r="M45" s="87">
        <v>55</v>
      </c>
      <c r="N45" s="87">
        <v>60</v>
      </c>
      <c r="O45" s="87">
        <v>65</v>
      </c>
      <c r="P45" s="87">
        <v>70</v>
      </c>
      <c r="Q45" s="87">
        <v>75</v>
      </c>
      <c r="R45" s="87">
        <v>80</v>
      </c>
      <c r="S45" s="87">
        <v>85</v>
      </c>
      <c r="T45" s="87">
        <v>90</v>
      </c>
      <c r="U45" s="87">
        <v>95</v>
      </c>
      <c r="V45" s="87">
        <v>100</v>
      </c>
    </row>
    <row r="46" spans="1:26" s="1" customFormat="1">
      <c r="A46" s="331" t="s">
        <v>891</v>
      </c>
      <c r="B46" s="88">
        <f>B45/100*$D$11</f>
        <v>0</v>
      </c>
      <c r="C46" s="88">
        <f>C45/100*$D$11</f>
        <v>6.9350000000000009E-2</v>
      </c>
      <c r="D46" s="88">
        <f>D45/100*$D$11</f>
        <v>0.13870000000000002</v>
      </c>
      <c r="E46" s="88">
        <f t="shared" ref="E46:S46" si="2">E45/100*$D$11</f>
        <v>0.20804999999999998</v>
      </c>
      <c r="F46" s="88">
        <f t="shared" si="2"/>
        <v>0.27740000000000004</v>
      </c>
      <c r="G46" s="88">
        <f t="shared" si="2"/>
        <v>0.34675</v>
      </c>
      <c r="H46" s="88">
        <f t="shared" si="2"/>
        <v>0.41609999999999997</v>
      </c>
      <c r="I46" s="88">
        <f t="shared" si="2"/>
        <v>0.48544999999999999</v>
      </c>
      <c r="J46" s="88">
        <f t="shared" si="2"/>
        <v>0.55480000000000007</v>
      </c>
      <c r="K46" s="88">
        <f t="shared" si="2"/>
        <v>0.62414999999999998</v>
      </c>
      <c r="L46" s="88">
        <f t="shared" si="2"/>
        <v>0.69350000000000001</v>
      </c>
      <c r="M46" s="88">
        <f t="shared" si="2"/>
        <v>0.76285000000000003</v>
      </c>
      <c r="N46" s="88">
        <f t="shared" si="2"/>
        <v>0.83219999999999994</v>
      </c>
      <c r="O46" s="88">
        <f t="shared" si="2"/>
        <v>0.90155000000000007</v>
      </c>
      <c r="P46" s="88">
        <f t="shared" si="2"/>
        <v>0.97089999999999999</v>
      </c>
      <c r="Q46" s="88">
        <f t="shared" si="2"/>
        <v>1.0402499999999999</v>
      </c>
      <c r="R46" s="88">
        <f t="shared" si="2"/>
        <v>1.1096000000000001</v>
      </c>
      <c r="S46" s="88">
        <f t="shared" si="2"/>
        <v>1.1789499999999999</v>
      </c>
      <c r="T46" s="88">
        <f>T45/100*$D$11</f>
        <v>1.2483</v>
      </c>
      <c r="U46" s="88">
        <f>U45/100*$D$11</f>
        <v>1.31765</v>
      </c>
      <c r="V46" s="88">
        <f>V45/100*$D$11</f>
        <v>1.387</v>
      </c>
    </row>
    <row r="47" spans="1:26">
      <c r="A47" s="90" t="s">
        <v>892</v>
      </c>
      <c r="B47" s="88">
        <f>$D$39*B46/(B46+$D$41)</f>
        <v>0</v>
      </c>
      <c r="C47" s="88">
        <f>$D$39*C46/(C46+$D$41)</f>
        <v>146.34415089323397</v>
      </c>
      <c r="D47" s="88">
        <f t="shared" ref="D47:S47" si="3">$D$39*D46/(D46+$D$41)</f>
        <v>279.89572143890973</v>
      </c>
      <c r="E47" s="88">
        <f t="shared" si="3"/>
        <v>402.26185095264174</v>
      </c>
      <c r="F47" s="88">
        <f t="shared" si="3"/>
        <v>514.79129140396287</v>
      </c>
      <c r="G47" s="88">
        <f t="shared" si="3"/>
        <v>618.62432858699583</v>
      </c>
      <c r="H47" s="88">
        <f t="shared" si="3"/>
        <v>714.73155998029063</v>
      </c>
      <c r="I47" s="88">
        <f t="shared" si="3"/>
        <v>803.9443271607571</v>
      </c>
      <c r="J47" s="88">
        <f t="shared" si="3"/>
        <v>886.97882559233017</v>
      </c>
      <c r="K47" s="88">
        <f t="shared" si="3"/>
        <v>964.45537301641866</v>
      </c>
      <c r="L47" s="88">
        <f t="shared" si="3"/>
        <v>1036.9139339278449</v>
      </c>
      <c r="M47" s="88">
        <f t="shared" si="3"/>
        <v>1104.8267222122761</v>
      </c>
      <c r="N47" s="88">
        <f t="shared" si="3"/>
        <v>1168.6085039998422</v>
      </c>
      <c r="O47" s="88">
        <f t="shared" si="3"/>
        <v>1228.6250759033928</v>
      </c>
      <c r="P47" s="88">
        <f t="shared" si="3"/>
        <v>1285.2002848248046</v>
      </c>
      <c r="Q47" s="88">
        <f t="shared" si="3"/>
        <v>1338.6218738654552</v>
      </c>
      <c r="R47" s="88">
        <f t="shared" si="3"/>
        <v>1389.1463771546914</v>
      </c>
      <c r="S47" s="88">
        <f t="shared" si="3"/>
        <v>1437.0032393527838</v>
      </c>
      <c r="T47" s="88">
        <f>$D$39*T46/(T46+$D$41)</f>
        <v>1482.3982994205285</v>
      </c>
      <c r="U47" s="88">
        <f>$D$39*U46/(U46+$D$41)</f>
        <v>1525.5167502448917</v>
      </c>
      <c r="V47" s="88">
        <f>$D$39*V46/(V46+$D$41)</f>
        <v>1566.5256638724036</v>
      </c>
    </row>
    <row r="48" spans="1:26">
      <c r="A48" s="91" t="s">
        <v>893</v>
      </c>
      <c r="B48" s="94">
        <f t="shared" ref="B48:V48" si="4">(1+$D$20/(2*$D$35))*$D$35/(PI()*$D$8^2)*($D$39^2*$D$41*B46/(B46+$D$41)^3+$D$42)/1000000</f>
        <v>1.7425636040732313</v>
      </c>
      <c r="C48" s="94">
        <f t="shared" si="4"/>
        <v>177.65361966773747</v>
      </c>
      <c r="D48" s="94">
        <f t="shared" si="4"/>
        <v>309.42011905030512</v>
      </c>
      <c r="E48" s="94">
        <f t="shared" si="4"/>
        <v>407.67248230292893</v>
      </c>
      <c r="F48" s="94">
        <f t="shared" si="4"/>
        <v>480.30721854272826</v>
      </c>
      <c r="G48" s="94">
        <f t="shared" si="4"/>
        <v>533.24836116966515</v>
      </c>
      <c r="H48" s="94">
        <f t="shared" si="4"/>
        <v>570.97993671805921</v>
      </c>
      <c r="I48" s="94">
        <f t="shared" si="4"/>
        <v>596.92330975580944</v>
      </c>
      <c r="J48" s="94">
        <f t="shared" si="4"/>
        <v>613.70788321615294</v>
      </c>
      <c r="K48" s="94">
        <f t="shared" si="4"/>
        <v>623.36748910970607</v>
      </c>
      <c r="L48" s="94">
        <f t="shared" si="4"/>
        <v>627.48435320042381</v>
      </c>
      <c r="M48" s="94">
        <f t="shared" si="4"/>
        <v>627.29564499275091</v>
      </c>
      <c r="N48" s="94">
        <f t="shared" si="4"/>
        <v>623.77303981194393</v>
      </c>
      <c r="O48" s="94">
        <f t="shared" si="4"/>
        <v>617.68262001427547</v>
      </c>
      <c r="P48" s="94">
        <f t="shared" si="4"/>
        <v>609.63032019485377</v>
      </c>
      <c r="Q48" s="94">
        <f t="shared" si="4"/>
        <v>600.09665132665975</v>
      </c>
      <c r="R48" s="94">
        <f t="shared" si="4"/>
        <v>589.46340944076042</v>
      </c>
      <c r="S48" s="94">
        <f t="shared" si="4"/>
        <v>578.03434626807359</v>
      </c>
      <c r="T48" s="94">
        <f t="shared" si="4"/>
        <v>566.05125914230916</v>
      </c>
      <c r="U48" s="94">
        <f t="shared" si="4"/>
        <v>553.70658259166134</v>
      </c>
      <c r="V48" s="94">
        <f t="shared" si="4"/>
        <v>541.15329155468942</v>
      </c>
    </row>
    <row r="49" spans="1:22">
      <c r="A49" s="93" t="s">
        <v>906</v>
      </c>
      <c r="B49" s="95">
        <f ca="1">IF(C49&gt;$D$8/SQRT(1-B48*2/($G$7/$D$3)),C49,$D$8/SQRT(1-B48*2/($G$7/$D$3)))</f>
        <v>5.0363839005449239E-2</v>
      </c>
      <c r="C49" s="95">
        <f t="shared" ref="C49:V49" ca="1" si="5">IF(D49&gt;$D$8/SQRT(1-C48*2/($G$7/$D$3)),D49,$D$8/SQRT(1-C48*2/($G$7/$D$3)))</f>
        <v>5.0363839005449239E-2</v>
      </c>
      <c r="D49" s="95">
        <f t="shared" ca="1" si="5"/>
        <v>5.0363839005449239E-2</v>
      </c>
      <c r="E49" s="95">
        <f t="shared" ca="1" si="5"/>
        <v>5.0363839005449239E-2</v>
      </c>
      <c r="F49" s="95">
        <f t="shared" ca="1" si="5"/>
        <v>5.0363839005449239E-2</v>
      </c>
      <c r="G49" s="95">
        <f t="shared" ca="1" si="5"/>
        <v>5.0363839005449239E-2</v>
      </c>
      <c r="H49" s="95">
        <f t="shared" ca="1" si="5"/>
        <v>5.0363839005449239E-2</v>
      </c>
      <c r="I49" s="95">
        <f t="shared" ca="1" si="5"/>
        <v>5.0363839005449239E-2</v>
      </c>
      <c r="J49" s="95">
        <f t="shared" ca="1" si="5"/>
        <v>5.0363839005449239E-2</v>
      </c>
      <c r="K49" s="95">
        <f t="shared" ca="1" si="5"/>
        <v>5.0363839005449239E-2</v>
      </c>
      <c r="L49" s="95">
        <f t="shared" ca="1" si="5"/>
        <v>5.0363839005449239E-2</v>
      </c>
      <c r="M49" s="95">
        <f t="shared" ca="1" si="5"/>
        <v>5.0226723291100027E-2</v>
      </c>
      <c r="N49" s="95">
        <f t="shared" ca="1" si="5"/>
        <v>4.7856612372567768E-2</v>
      </c>
      <c r="O49" s="95">
        <f t="shared" ca="1" si="5"/>
        <v>4.4446728109464609E-2</v>
      </c>
      <c r="P49" s="95">
        <f t="shared" ca="1" si="5"/>
        <v>4.088715341372906E-2</v>
      </c>
      <c r="Q49" s="95">
        <f t="shared" ca="1" si="5"/>
        <v>3.7607092960305046E-2</v>
      </c>
      <c r="R49" s="95">
        <f t="shared" ca="1" si="5"/>
        <v>3.4741476014743644E-2</v>
      </c>
      <c r="S49" s="95">
        <f t="shared" ca="1" si="5"/>
        <v>3.2290591333014124E-2</v>
      </c>
      <c r="T49" s="95">
        <f t="shared" ca="1" si="5"/>
        <v>3.020697214923743E-2</v>
      </c>
      <c r="U49" s="95">
        <f t="shared" ca="1" si="5"/>
        <v>2.8433204302350634E-2</v>
      </c>
      <c r="V49" s="95">
        <f t="shared" ca="1" si="5"/>
        <v>2.6915931982553511E-2</v>
      </c>
    </row>
    <row r="50" spans="1:22">
      <c r="A50" s="93" t="s">
        <v>904</v>
      </c>
      <c r="B50" s="95">
        <f ca="1">IF(C50&gt;EXP(B$48/($G$7/$D$3))*$D$8,C50,EXP(B$48/($G$7/$D$3))*$D$8)</f>
        <v>1.8472401653621219E-2</v>
      </c>
      <c r="C50" s="95">
        <f t="shared" ref="C50:U50" ca="1" si="6">IF(D50&gt;EXP(C$48/($G$7/$D$3))*$D$8,D50,EXP(C$48/($G$7/$D$3))*$D$8)</f>
        <v>1.8472401653621219E-2</v>
      </c>
      <c r="D50" s="95">
        <f t="shared" ca="1" si="6"/>
        <v>1.8472401653621219E-2</v>
      </c>
      <c r="E50" s="95">
        <f t="shared" ca="1" si="6"/>
        <v>1.8472401653621219E-2</v>
      </c>
      <c r="F50" s="95">
        <f t="shared" ca="1" si="6"/>
        <v>1.8472401653621219E-2</v>
      </c>
      <c r="G50" s="95">
        <f t="shared" ca="1" si="6"/>
        <v>1.8472401653621219E-2</v>
      </c>
      <c r="H50" s="95">
        <f t="shared" ca="1" si="6"/>
        <v>1.8472401653621219E-2</v>
      </c>
      <c r="I50" s="95">
        <f t="shared" ca="1" si="6"/>
        <v>1.8472401653621219E-2</v>
      </c>
      <c r="J50" s="95">
        <f t="shared" ca="1" si="6"/>
        <v>1.8472401653621219E-2</v>
      </c>
      <c r="K50" s="95">
        <f t="shared" ca="1" si="6"/>
        <v>1.8472401653621219E-2</v>
      </c>
      <c r="L50" s="95">
        <f t="shared" ca="1" si="6"/>
        <v>1.8472401653621219E-2</v>
      </c>
      <c r="M50" s="95">
        <f t="shared" ca="1" si="6"/>
        <v>1.8469768990933125E-2</v>
      </c>
      <c r="N50" s="95">
        <f t="shared" ca="1" si="6"/>
        <v>1.8420694043972129E-2</v>
      </c>
      <c r="O50" s="95">
        <f t="shared" ca="1" si="6"/>
        <v>1.8336153169644341E-2</v>
      </c>
      <c r="P50" s="95">
        <f t="shared" ca="1" si="6"/>
        <v>1.8224974824892558E-2</v>
      </c>
      <c r="Q50" s="95">
        <f t="shared" ca="1" si="6"/>
        <v>1.8094214391560278E-2</v>
      </c>
      <c r="R50" s="95">
        <f t="shared" ca="1" si="6"/>
        <v>1.7949479025033098E-2</v>
      </c>
      <c r="S50" s="95">
        <f t="shared" ca="1" si="6"/>
        <v>1.7795201955458636E-2</v>
      </c>
      <c r="T50" s="95">
        <f t="shared" ca="1" si="6"/>
        <v>1.7634870104161225E-2</v>
      </c>
      <c r="U50" s="95">
        <f t="shared" ca="1" si="6"/>
        <v>1.7471210710987582E-2</v>
      </c>
      <c r="V50" s="95">
        <f ca="1">EXP(V$48/($G$7/$D$3))*$D$8</f>
        <v>1.7306343081141463E-2</v>
      </c>
    </row>
    <row r="51" spans="1:22" hidden="1">
      <c r="B51">
        <f>$D$8</f>
        <v>1.15E-2</v>
      </c>
      <c r="C51" s="38">
        <f t="shared" ref="C51:V51" si="7">$D$8</f>
        <v>1.15E-2</v>
      </c>
      <c r="D51" s="38">
        <f t="shared" si="7"/>
        <v>1.15E-2</v>
      </c>
      <c r="E51" s="38">
        <f t="shared" si="7"/>
        <v>1.15E-2</v>
      </c>
      <c r="F51" s="38">
        <f t="shared" si="7"/>
        <v>1.15E-2</v>
      </c>
      <c r="G51" s="38">
        <f t="shared" si="7"/>
        <v>1.15E-2</v>
      </c>
      <c r="H51" s="38">
        <f t="shared" si="7"/>
        <v>1.15E-2</v>
      </c>
      <c r="I51" s="38">
        <f t="shared" si="7"/>
        <v>1.15E-2</v>
      </c>
      <c r="J51" s="38">
        <f t="shared" si="7"/>
        <v>1.15E-2</v>
      </c>
      <c r="K51" s="38">
        <f t="shared" si="7"/>
        <v>1.15E-2</v>
      </c>
      <c r="L51" s="38">
        <f t="shared" si="7"/>
        <v>1.15E-2</v>
      </c>
      <c r="M51" s="38">
        <f t="shared" si="7"/>
        <v>1.15E-2</v>
      </c>
      <c r="N51" s="38">
        <f t="shared" si="7"/>
        <v>1.15E-2</v>
      </c>
      <c r="O51" s="38">
        <f t="shared" si="7"/>
        <v>1.15E-2</v>
      </c>
      <c r="P51" s="38">
        <f t="shared" si="7"/>
        <v>1.15E-2</v>
      </c>
      <c r="Q51" s="38">
        <f t="shared" si="7"/>
        <v>1.15E-2</v>
      </c>
      <c r="R51" s="38">
        <f t="shared" si="7"/>
        <v>1.15E-2</v>
      </c>
      <c r="S51" s="38">
        <f t="shared" si="7"/>
        <v>1.15E-2</v>
      </c>
      <c r="T51" s="38">
        <f t="shared" si="7"/>
        <v>1.15E-2</v>
      </c>
      <c r="U51" s="38">
        <f t="shared" si="7"/>
        <v>1.15E-2</v>
      </c>
      <c r="V51" s="38">
        <f t="shared" si="7"/>
        <v>1.15E-2</v>
      </c>
    </row>
    <row r="52" spans="1:22" s="38" customFormat="1"/>
    <row r="53" spans="1:22">
      <c r="A53" s="93" t="s">
        <v>907</v>
      </c>
      <c r="B53" s="87">
        <f>C46</f>
        <v>6.9350000000000009E-2</v>
      </c>
    </row>
    <row r="55" spans="1:22">
      <c r="A55" t="s">
        <v>910</v>
      </c>
    </row>
    <row r="56" spans="1:22" ht="14.65" thickBot="1">
      <c r="B56" t="s">
        <v>911</v>
      </c>
    </row>
    <row r="57" spans="1:22" ht="15" thickTop="1" thickBot="1">
      <c r="C57" s="13" t="s">
        <v>909</v>
      </c>
      <c r="D57" s="99">
        <f ca="1">(SUM(B49^2,C49^2,D49^2,E49^2,F49^2,G49^2,H49^2,I49^2,J49^2,K49^2,L49^2,M49^2,N49^2,O4^2,O49^2,P49^2,Q49^2,R49^2,S49^2,T49^2,U49^2)-20*$D$8^2)*PI()*$G$6*$B$53</f>
        <v>65.937710428860456</v>
      </c>
      <c r="E57" s="38" t="s">
        <v>1</v>
      </c>
      <c r="F57" s="621" t="str">
        <f ca="1">IF(ISERROR(D57),"Monobloc Barrel Failed","Barrel OK")</f>
        <v>Barrel OK</v>
      </c>
      <c r="G57" s="621"/>
      <c r="H57" s="621"/>
    </row>
    <row r="58" spans="1:22" s="154" customFormat="1" ht="15" thickTop="1" thickBot="1">
      <c r="C58" s="13" t="s">
        <v>1099</v>
      </c>
      <c r="D58" s="99">
        <f ca="1">PI()*((D7/SQRT(1-G39*2/(G7/D3)))^2-D7^2)*G6*G15</f>
        <v>15.877290937708864</v>
      </c>
      <c r="E58" s="154" t="s">
        <v>1</v>
      </c>
      <c r="F58" s="157" t="s">
        <v>1107</v>
      </c>
      <c r="G58" s="158">
        <f ca="1">$M$22/((D58+D57)*LOOKUP($B$6,Materials[[#All],[Refe-rence]],Materials[[#All],[Specific Heat (J/kgK)]]))</f>
        <v>1.0530151608187681</v>
      </c>
      <c r="H58" s="159" t="s">
        <v>394</v>
      </c>
    </row>
    <row r="59" spans="1:22" ht="14.65" thickTop="1">
      <c r="C59" t="s">
        <v>921</v>
      </c>
      <c r="D59" s="1">
        <f ca="1">D57*D11^2/3+D58*G15^2/3</f>
        <v>42.335898721131855</v>
      </c>
      <c r="E59" t="s">
        <v>920</v>
      </c>
      <c r="F59" s="39"/>
      <c r="G59" s="39"/>
      <c r="H59" s="39"/>
    </row>
    <row r="61" spans="1:22" ht="14.65" thickBot="1">
      <c r="B61" t="s">
        <v>912</v>
      </c>
    </row>
    <row r="62" spans="1:22" ht="15" thickTop="1" thickBot="1">
      <c r="B62" s="38"/>
      <c r="C62" s="13" t="s">
        <v>908</v>
      </c>
      <c r="D62" s="99">
        <f ca="1">(SUM(B50^2,C50^2,D50^2,E50^2,F50^2,G50^2,H50^2,I50^2,J50^2,K50^2,L50^2,M50^2,N50^2,O5^2,O50^2,P50^2,Q50^2,R50^2,S50^2,T50^2,U50^2)-20*$D$8^2)*PI()*$G$6*$B$53</f>
        <v>6.8124036599583606</v>
      </c>
      <c r="E62" s="38" t="s">
        <v>1</v>
      </c>
      <c r="F62" s="621" t="str">
        <f ca="1">IF(ISERROR(D62),"Autofrettaged Barrel Failed","Barrel OK")</f>
        <v>Barrel OK</v>
      </c>
      <c r="G62" s="621"/>
      <c r="H62" s="621"/>
    </row>
    <row r="63" spans="1:22" s="154" customFormat="1" ht="15" thickTop="1" thickBot="1">
      <c r="C63" s="13" t="s">
        <v>1099</v>
      </c>
      <c r="D63" s="99">
        <f ca="1">((EXP(G39/(G7/D3))*D7)^2-D7^2)*PI()*G6*G15</f>
        <v>1.3651404959827953</v>
      </c>
      <c r="E63" s="117" t="s">
        <v>1</v>
      </c>
      <c r="F63" s="157" t="s">
        <v>1107</v>
      </c>
      <c r="G63" s="158">
        <f ca="1">$M$22/((D63+D62)*LOOKUP($B$6,Materials[[#All],[Refe-rence]],Materials[[#All],[Specific Heat (J/kgK)]]))</f>
        <v>10.535245689723874</v>
      </c>
      <c r="H63" s="159" t="s">
        <v>394</v>
      </c>
    </row>
    <row r="64" spans="1:22" ht="14.65" thickTop="1">
      <c r="B64" s="38"/>
      <c r="C64" s="114" t="s">
        <v>921</v>
      </c>
      <c r="D64" s="1">
        <f ca="1">1/3*D62*D11^2+1/3*D63*G15^2</f>
        <v>4.3730474604914216</v>
      </c>
      <c r="E64" s="38" t="s">
        <v>920</v>
      </c>
      <c r="F64" s="38"/>
      <c r="G64" s="38"/>
      <c r="H64" s="38"/>
    </row>
    <row r="66" spans="1:24">
      <c r="A66" t="s">
        <v>1105</v>
      </c>
      <c r="J66" t="s">
        <v>2039</v>
      </c>
    </row>
    <row r="67" spans="1:24">
      <c r="C67" t="s">
        <v>1492</v>
      </c>
      <c r="D67">
        <f>D7*2*1000</f>
        <v>37.680198184141737</v>
      </c>
      <c r="E67" t="s">
        <v>12</v>
      </c>
      <c r="F67" t="s">
        <v>1103</v>
      </c>
      <c r="G67" s="5">
        <f>G15*1000</f>
        <v>100</v>
      </c>
      <c r="H67" t="s">
        <v>12</v>
      </c>
      <c r="K67" s="93" t="s">
        <v>343</v>
      </c>
      <c r="L67" s="87">
        <v>5</v>
      </c>
      <c r="M67" t="s">
        <v>2036</v>
      </c>
    </row>
    <row r="68" spans="1:24">
      <c r="C68" t="s">
        <v>1490</v>
      </c>
      <c r="D68">
        <f>D8*2*1000</f>
        <v>23</v>
      </c>
      <c r="E68" t="s">
        <v>12</v>
      </c>
      <c r="F68" t="s">
        <v>1104</v>
      </c>
      <c r="G68" s="7">
        <f>G33*1000</f>
        <v>82.298464529452716</v>
      </c>
      <c r="H68" t="s">
        <v>12</v>
      </c>
    </row>
    <row r="69" spans="1:24">
      <c r="C69" t="s">
        <v>1491</v>
      </c>
      <c r="D69">
        <f>2*D33*1000</f>
        <v>9</v>
      </c>
      <c r="E69" t="s">
        <v>12</v>
      </c>
      <c r="F69" t="s">
        <v>1493</v>
      </c>
      <c r="G69" s="7">
        <f>SUM(G68,G67)</f>
        <v>182.2984645294527</v>
      </c>
      <c r="H69" t="s">
        <v>12</v>
      </c>
      <c r="J69" t="s">
        <v>2038</v>
      </c>
    </row>
    <row r="70" spans="1:24">
      <c r="K70" s="394" t="s">
        <v>2040</v>
      </c>
      <c r="L70" s="87">
        <v>10</v>
      </c>
      <c r="M70" s="87">
        <v>20</v>
      </c>
      <c r="N70" s="87">
        <v>30</v>
      </c>
      <c r="O70" s="87">
        <v>40</v>
      </c>
      <c r="P70" s="87">
        <v>50</v>
      </c>
      <c r="Q70" s="87">
        <v>60</v>
      </c>
      <c r="R70" s="87">
        <v>70</v>
      </c>
      <c r="S70" s="87">
        <v>80</v>
      </c>
      <c r="T70" s="87">
        <v>90</v>
      </c>
      <c r="U70" s="387"/>
      <c r="V70" s="387"/>
      <c r="W70" s="387"/>
      <c r="X70" s="387"/>
    </row>
    <row r="71" spans="1:24">
      <c r="C71" t="s">
        <v>2057</v>
      </c>
      <c r="D71">
        <f>D32*1000</f>
        <v>100</v>
      </c>
      <c r="E71" t="s">
        <v>753</v>
      </c>
      <c r="F71" t="s">
        <v>2059</v>
      </c>
      <c r="G71">
        <f>D20*1000</f>
        <v>166</v>
      </c>
      <c r="H71" t="s">
        <v>753</v>
      </c>
      <c r="K71" s="395" t="s">
        <v>2041</v>
      </c>
      <c r="L71" s="88">
        <f ca="1">((L70/2)^2*9*$D$59/(8*$L$67*1000))^(1/3)*2</f>
        <v>1.2396728764328342</v>
      </c>
      <c r="M71" s="88">
        <f t="shared" ref="M71:T71" ca="1" si="8">((M70/2)^2*9*$D$59/(8*$L$67*1000))^(1/3)*2</f>
        <v>1.967858028145925</v>
      </c>
      <c r="N71" s="88">
        <f t="shared" ca="1" si="8"/>
        <v>2.5786234961441608</v>
      </c>
      <c r="O71" s="88">
        <f t="shared" ca="1" si="8"/>
        <v>3.1237799040029079</v>
      </c>
      <c r="P71" s="88">
        <f t="shared" ca="1" si="8"/>
        <v>3.6248254802709741</v>
      </c>
      <c r="Q71" s="88">
        <f t="shared" ca="1" si="8"/>
        <v>4.0933096504091573</v>
      </c>
      <c r="R71" s="88">
        <f t="shared" ca="1" si="8"/>
        <v>4.5363420352912724</v>
      </c>
      <c r="S71" s="88">
        <f t="shared" ca="1" si="8"/>
        <v>4.9586915057313377</v>
      </c>
      <c r="T71" s="88">
        <f t="shared" ca="1" si="8"/>
        <v>5.3637530200710124</v>
      </c>
      <c r="U71" s="387"/>
      <c r="V71" s="387"/>
      <c r="W71" s="387"/>
      <c r="X71" s="387"/>
    </row>
    <row r="72" spans="1:24">
      <c r="C72" t="s">
        <v>2058</v>
      </c>
      <c r="D72">
        <f>D28*1000</f>
        <v>65</v>
      </c>
      <c r="E72" t="s">
        <v>753</v>
      </c>
      <c r="F72" t="s">
        <v>2060</v>
      </c>
      <c r="G72">
        <f>SUM(D71:D72,G71)</f>
        <v>331</v>
      </c>
      <c r="H72" t="s">
        <v>753</v>
      </c>
      <c r="K72" s="396" t="s">
        <v>2042</v>
      </c>
      <c r="L72" s="88">
        <f ca="1">((L70/2)^2*9*$D$64/(8*$L$67*1000))^(1/3)*2</f>
        <v>0.58165513723146678</v>
      </c>
      <c r="M72" s="88">
        <f t="shared" ref="M72:T72" ca="1" si="9">((M70/2)^2*9*$D$64/(8*$L$67*1000))^(1/3)*2</f>
        <v>0.92331997672393773</v>
      </c>
      <c r="N72" s="88">
        <f t="shared" ca="1" si="9"/>
        <v>1.2098914415502093</v>
      </c>
      <c r="O72" s="88">
        <f t="shared" ca="1" si="9"/>
        <v>1.4656791023548321</v>
      </c>
      <c r="P72" s="88">
        <f t="shared" ca="1" si="9"/>
        <v>1.7007699387874475</v>
      </c>
      <c r="Q72" s="88">
        <f t="shared" ca="1" si="9"/>
        <v>1.9205829470841234</v>
      </c>
      <c r="R72" s="88">
        <f t="shared" ca="1" si="9"/>
        <v>2.1284539649353014</v>
      </c>
      <c r="S72" s="88">
        <f t="shared" ca="1" si="9"/>
        <v>2.3266205489258667</v>
      </c>
      <c r="T72" s="88">
        <f t="shared" ca="1" si="9"/>
        <v>2.5166756152175385</v>
      </c>
      <c r="U72" s="387"/>
      <c r="V72" s="387"/>
      <c r="W72" s="387"/>
      <c r="X72" s="387"/>
    </row>
  </sheetData>
  <mergeCells count="9">
    <mergeCell ref="F62:H62"/>
    <mergeCell ref="F57:H57"/>
    <mergeCell ref="C6:E6"/>
    <mergeCell ref="F41:H41"/>
    <mergeCell ref="F42:H42"/>
    <mergeCell ref="F43:H43"/>
    <mergeCell ref="C27:E27"/>
    <mergeCell ref="C19:E19"/>
    <mergeCell ref="C31:E31"/>
  </mergeCells>
  <dataValidations count="8">
    <dataValidation type="decimal" operator="greaterThan" allowBlank="1" showInputMessage="1" showErrorMessage="1" sqref="D20 D29:D30 D32 L67" xr:uid="{A64B6924-5D98-4837-A58E-2EEAFFF7EAD6}">
      <formula1>0</formula1>
    </dataValidation>
    <dataValidation type="decimal" allowBlank="1" showInputMessage="1" showErrorMessage="1" sqref="D22" xr:uid="{7EF68207-91D7-4233-A8CD-06707B884A15}">
      <formula1>0</formula1>
      <formula2>1</formula2>
    </dataValidation>
    <dataValidation type="decimal" allowBlank="1" showInputMessage="1" showErrorMessage="1" sqref="D33" xr:uid="{26DC8962-0C22-4756-A44F-7E567F3D15F8}">
      <formula1>0</formula1>
      <formula2>D8</formula2>
    </dataValidation>
    <dataValidation type="whole" operator="greaterThan" allowBlank="1" showInputMessage="1" showErrorMessage="1" sqref="B6" xr:uid="{9AE1F272-4F22-4A1B-8C2C-73CBE818EBA7}">
      <formula1>0</formula1>
    </dataValidation>
    <dataValidation type="decimal" operator="greaterThan" allowBlank="1" showInputMessage="1" showErrorMessage="1" sqref="D3" xr:uid="{C9ACF0AC-2345-40D4-8BA6-C79128645E1D}">
      <formula1>1</formula1>
    </dataValidation>
    <dataValidation type="decimal" operator="greaterThanOrEqual" allowBlank="1" showInputMessage="1" showErrorMessage="1" sqref="D28" xr:uid="{8052E1B9-116B-4153-B57F-3F5E6C9A13AD}">
      <formula1>0</formula1>
    </dataValidation>
    <dataValidation type="decimal" operator="greaterThanOrEqual" allowBlank="1" showInputMessage="1" showErrorMessage="1" sqref="D7" xr:uid="{019459B6-F6C1-4929-B86A-D1353731A249}">
      <formula1>D8</formula1>
    </dataValidation>
    <dataValidation type="decimal" operator="greaterThan" allowBlank="1" showInputMessage="1" showErrorMessage="1" sqref="D8" xr:uid="{CA3C615F-ED64-40B3-8FAD-31951CB1DD46}">
      <formula1>D33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1]!SolveModel">
                <anchor moveWithCells="1" sizeWithCells="1">
                  <from>
                    <xdr:col>3</xdr:col>
                    <xdr:colOff>576263</xdr:colOff>
                    <xdr:row>21</xdr:row>
                    <xdr:rowOff>4763</xdr:rowOff>
                  </from>
                  <to>
                    <xdr:col>5</xdr:col>
                    <xdr:colOff>4763</xdr:colOff>
                    <xdr:row>22</xdr:row>
                    <xdr:rowOff>0</xdr:rowOff>
                  </to>
                </anchor>
              </controlPr>
            </control>
          </mc:Choice>
        </mc:AlternateContent>
        <mc:AlternateContent xmlns:mc="http://schemas.openxmlformats.org/markup-compatibility/2006">
          <mc:Choice Requires="x14">
            <control shapeId="7289" r:id="rId5" name="Check Box 121">
              <controlPr defaultSize="0" autoFill="0" autoLine="0" autoPict="0">
                <anchor moveWithCells="1">
                  <from>
                    <xdr:col>6</xdr:col>
                    <xdr:colOff>204788</xdr:colOff>
                    <xdr:row>11</xdr:row>
                    <xdr:rowOff>185738</xdr:rowOff>
                  </from>
                  <to>
                    <xdr:col>6</xdr:col>
                    <xdr:colOff>490538</xdr:colOff>
                    <xdr:row>13</xdr:row>
                    <xdr:rowOff>42863</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8C070-6562-40B2-BAF4-6B4EF1597587}">
  <sheetPr codeName="Sheet14">
    <tabColor theme="4"/>
  </sheetPr>
  <dimension ref="A1:X34"/>
  <sheetViews>
    <sheetView workbookViewId="0"/>
  </sheetViews>
  <sheetFormatPr defaultRowHeight="14.25"/>
  <cols>
    <col min="1" max="1" width="2.06640625" style="263" customWidth="1"/>
    <col min="4" max="4" width="9.3984375" customWidth="1"/>
    <col min="6" max="6" width="9.06640625" customWidth="1"/>
    <col min="7" max="7" width="2.73046875" style="272" customWidth="1"/>
    <col min="10" max="10" width="8.6640625" customWidth="1"/>
    <col min="12" max="12" width="6.53125" style="263" customWidth="1"/>
    <col min="14" max="14" width="6.59765625" style="263" customWidth="1"/>
    <col min="15" max="24" width="6.59765625" customWidth="1"/>
  </cols>
  <sheetData>
    <row r="1" spans="2:24">
      <c r="B1" s="616" t="s">
        <v>1520</v>
      </c>
      <c r="C1" s="616"/>
      <c r="D1" s="616"/>
      <c r="E1" s="616"/>
      <c r="F1" s="616"/>
      <c r="G1" s="271"/>
    </row>
    <row r="2" spans="2:24">
      <c r="B2" s="616"/>
      <c r="C2" s="616"/>
      <c r="D2" s="616"/>
      <c r="E2" s="616"/>
      <c r="F2" s="616"/>
      <c r="G2" s="271"/>
    </row>
    <row r="3" spans="2:24" s="274" customFormat="1">
      <c r="B3" s="273"/>
      <c r="C3" s="273"/>
      <c r="D3" s="273"/>
      <c r="E3" s="273"/>
      <c r="F3" s="273"/>
      <c r="G3" s="273"/>
    </row>
    <row r="4" spans="2:24">
      <c r="B4" s="708" t="str">
        <f>ROUND(J11/1000,1)&amp;" km/s "&amp;ROUND(J15,1)&amp;" MJ "&amp; "Railgun w/"&amp;ROUND(D19*2,0)&amp;" mm subcal munition"</f>
        <v>3.7 km/s 3.6 MJ Railgun w/10 mm subcal munition</v>
      </c>
      <c r="C4" s="708"/>
      <c r="D4" s="708"/>
      <c r="E4" s="708"/>
      <c r="F4" s="708"/>
      <c r="G4" s="708"/>
      <c r="H4" s="708"/>
      <c r="I4" s="708"/>
      <c r="J4" s="708"/>
      <c r="K4" s="708"/>
    </row>
    <row r="5" spans="2:24" s="274" customFormat="1">
      <c r="B5" s="275"/>
      <c r="C5" s="275"/>
      <c r="D5" s="275"/>
      <c r="E5" s="275"/>
      <c r="F5" s="275"/>
      <c r="G5" s="275"/>
      <c r="H5" s="275"/>
      <c r="I5" s="275"/>
      <c r="J5" s="275"/>
      <c r="K5" s="275"/>
    </row>
    <row r="6" spans="2:24">
      <c r="B6" t="s">
        <v>1513</v>
      </c>
      <c r="H6" t="s">
        <v>1526</v>
      </c>
    </row>
    <row r="7" spans="2:24">
      <c r="C7" t="s">
        <v>3</v>
      </c>
      <c r="D7" s="184">
        <v>195</v>
      </c>
      <c r="E7" s="596" t="str">
        <f>LOOKUP(D7,Material!A2:A1048576,Material!B2:B1048576)</f>
        <v>Zirconium Copper</v>
      </c>
      <c r="F7" s="596"/>
      <c r="G7" s="270"/>
      <c r="I7" t="s">
        <v>1512</v>
      </c>
      <c r="J7" s="1">
        <f>0.000001256/PI()*LN((D8+D13)/D8)*1000000</f>
        <v>0.50085114842378764</v>
      </c>
      <c r="K7" t="s">
        <v>1517</v>
      </c>
      <c r="M7" s="244" t="s">
        <v>1522</v>
      </c>
      <c r="N7" s="244">
        <v>0</v>
      </c>
      <c r="O7" s="244">
        <v>0.1</v>
      </c>
      <c r="P7" s="244">
        <v>0.2</v>
      </c>
      <c r="Q7" s="244">
        <v>0.3</v>
      </c>
      <c r="R7" s="244">
        <v>0.4</v>
      </c>
      <c r="S7" s="244">
        <v>0.5</v>
      </c>
      <c r="T7" s="244">
        <v>0.6</v>
      </c>
      <c r="U7" s="244">
        <v>0.7</v>
      </c>
      <c r="V7" s="244">
        <v>0.8</v>
      </c>
      <c r="W7" s="244">
        <v>0.9</v>
      </c>
      <c r="X7" s="244">
        <v>1</v>
      </c>
    </row>
    <row r="8" spans="2:24">
      <c r="C8" s="171" t="s">
        <v>5</v>
      </c>
      <c r="D8" s="184">
        <v>32</v>
      </c>
      <c r="E8" t="s">
        <v>12</v>
      </c>
      <c r="I8" t="s">
        <v>1554</v>
      </c>
      <c r="J8" s="176">
        <f>0.000001256*(D25*1000000)^2/(2*PI())*LN((D8+D13)/D8)*0.9</f>
        <v>901532.06716281769</v>
      </c>
      <c r="K8" t="s">
        <v>412</v>
      </c>
      <c r="M8" s="244" t="s">
        <v>1545</v>
      </c>
      <c r="N8" s="268">
        <f>$D$25*1000000*(($J$7/1000000)^2*SQRT(2*$J$9*N7*$D$9)+$D$10/1000000*N7*$D$9)</f>
        <v>0</v>
      </c>
      <c r="O8" s="268">
        <f>$D$25*1000000*(($J$7/1000000)^2*SQRT(2*$J$9*O7*$D$9)+$D$10/1000000*O7*$D$9)</f>
        <v>4.4768183503403307</v>
      </c>
      <c r="P8" s="268">
        <f t="shared" ref="P8:X8" si="0">$D$25*1000000*(($J$7/1000000)^2*SQRT(2*$J$9*P7*$D$9)+$D$10/1000000*P7*$D$9)</f>
        <v>8.9532936782715034</v>
      </c>
      <c r="Q8" s="268">
        <f t="shared" si="0"/>
        <v>13.429712570555855</v>
      </c>
      <c r="R8" s="268">
        <f t="shared" si="0"/>
        <v>17.906102249599776</v>
      </c>
      <c r="S8" s="268">
        <f t="shared" si="0"/>
        <v>22.382473259773178</v>
      </c>
      <c r="T8" s="268">
        <f t="shared" si="0"/>
        <v>26.858831008870915</v>
      </c>
      <c r="U8" s="268">
        <f t="shared" si="0"/>
        <v>31.335178709371178</v>
      </c>
      <c r="V8" s="268">
        <f t="shared" si="0"/>
        <v>35.811518454381236</v>
      </c>
      <c r="W8" s="268">
        <f t="shared" si="0"/>
        <v>40.287851697778329</v>
      </c>
      <c r="X8" s="268">
        <f t="shared" si="0"/>
        <v>44.764179498121671</v>
      </c>
    </row>
    <row r="9" spans="2:24">
      <c r="C9" s="171" t="s">
        <v>9</v>
      </c>
      <c r="D9" s="184">
        <v>4</v>
      </c>
      <c r="E9" t="s">
        <v>2</v>
      </c>
      <c r="I9" t="s">
        <v>383</v>
      </c>
      <c r="J9" s="176">
        <f>J8/(D15+D21)</f>
        <v>1702870.7534225374</v>
      </c>
      <c r="K9" t="s">
        <v>800</v>
      </c>
    </row>
    <row r="10" spans="2:24">
      <c r="C10" t="s">
        <v>1514</v>
      </c>
      <c r="D10" s="1">
        <f>LOOKUP(D7,Materials[[#All],[Refe-rence]],Materials[[#All],[Resistivity (Ohm/m)]])/(PI()*(D8/1000)^2)*1000000</f>
        <v>5.5952909680744458</v>
      </c>
      <c r="E10" s="265" t="s">
        <v>1518</v>
      </c>
    </row>
    <row r="11" spans="2:24">
      <c r="B11" t="s">
        <v>1515</v>
      </c>
      <c r="I11" t="s">
        <v>706</v>
      </c>
      <c r="J11" s="167">
        <f>SQRT(2*J9*D9)</f>
        <v>3690.9302387582861</v>
      </c>
      <c r="K11" t="s">
        <v>16</v>
      </c>
    </row>
    <row r="12" spans="2:24">
      <c r="C12" s="263" t="s">
        <v>3</v>
      </c>
      <c r="D12" s="184">
        <v>204</v>
      </c>
      <c r="E12" s="596" t="str">
        <f>LOOKUP(D12,Material!A:A,Material!B:B)</f>
        <v>Alpha-2 Titanium Aluminide</v>
      </c>
      <c r="F12" s="596"/>
      <c r="G12" s="270"/>
      <c r="I12" t="s">
        <v>1521</v>
      </c>
      <c r="J12" s="269">
        <f>J11/J9</f>
        <v>2.1674752657182121E-3</v>
      </c>
      <c r="K12" t="s">
        <v>988</v>
      </c>
    </row>
    <row r="13" spans="2:24">
      <c r="C13" s="266" t="s">
        <v>2035</v>
      </c>
      <c r="D13" s="184">
        <v>80</v>
      </c>
      <c r="E13" t="s">
        <v>12</v>
      </c>
    </row>
    <row r="14" spans="2:24">
      <c r="C14" s="266" t="s">
        <v>9</v>
      </c>
      <c r="D14" s="184">
        <v>0.05</v>
      </c>
      <c r="E14" t="s">
        <v>2</v>
      </c>
      <c r="I14" t="s">
        <v>344</v>
      </c>
      <c r="J14" s="1">
        <f>1/6*J9*(D25*1000000)^2*J12^2*(3*J7/1000000+J12*D10/1000000/2)/1000000</f>
        <v>8.0459587875213963</v>
      </c>
      <c r="K14" t="s">
        <v>1523</v>
      </c>
    </row>
    <row r="15" spans="2:24" s="263" customFormat="1">
      <c r="C15" s="267" t="s">
        <v>4</v>
      </c>
      <c r="D15" s="18">
        <f>LOOKUP(D12,Materials[[#All],[Refe-rence]],Materials[[#All],[Density (kg/m3)]])*((D13/1000)*2*D8/1000-PI()*(D8/1000)^2-PI()*(D19/1000)^2)*D14</f>
        <v>0.38313855434070465</v>
      </c>
      <c r="E15" s="263" t="s">
        <v>1</v>
      </c>
      <c r="G15" s="272"/>
      <c r="I15" t="s">
        <v>1524</v>
      </c>
      <c r="J15" s="1">
        <f>1/2*(D21+D15)*J11^2/1000000</f>
        <v>3.6061282686512706</v>
      </c>
      <c r="K15" t="s">
        <v>1523</v>
      </c>
    </row>
    <row r="16" spans="2:24" s="263" customFormat="1">
      <c r="C16" s="267"/>
      <c r="D16" s="1"/>
      <c r="G16" s="272"/>
      <c r="I16" s="170" t="s">
        <v>1525</v>
      </c>
      <c r="J16" s="181">
        <f>J15/J14</f>
        <v>0.44819124281919909</v>
      </c>
    </row>
    <row r="17" spans="2:24" s="263" customFormat="1">
      <c r="B17" s="263" t="s">
        <v>1516</v>
      </c>
      <c r="G17" s="272"/>
    </row>
    <row r="18" spans="2:24" s="263" customFormat="1" ht="14.65" thickBot="1">
      <c r="C18" s="263" t="s">
        <v>3</v>
      </c>
      <c r="D18" s="184">
        <v>192</v>
      </c>
      <c r="E18" s="596" t="str">
        <f>LOOKUP(D18,Material!A:A,Material!B:B)</f>
        <v>Vanadium Chromium Steel</v>
      </c>
      <c r="F18" s="596"/>
      <c r="G18" s="270"/>
      <c r="H18" s="263" t="s">
        <v>1529</v>
      </c>
    </row>
    <row r="19" spans="2:24" s="263" customFormat="1" ht="15" thickTop="1" thickBot="1">
      <c r="C19" s="266" t="s">
        <v>5</v>
      </c>
      <c r="D19" s="184">
        <v>5</v>
      </c>
      <c r="E19" s="263" t="s">
        <v>12</v>
      </c>
      <c r="G19" s="272"/>
      <c r="I19" s="703" t="str">
        <f>IF(J9*D21/(PI()*(D19/1000)^2)/1000000&gt;LOOKUP(D18,Materials[[#All],[Refe-rence]],Materials[[#All],[Yield Strength (Mpa)]]),"Projectile Yield Exceeded","")</f>
        <v/>
      </c>
      <c r="J19" s="704"/>
      <c r="K19" s="705"/>
    </row>
    <row r="20" spans="2:24" s="263" customFormat="1" ht="14.65" thickTop="1">
      <c r="C20" s="266" t="s">
        <v>9</v>
      </c>
      <c r="D20" s="184">
        <v>0.25</v>
      </c>
      <c r="E20" s="263" t="s">
        <v>2</v>
      </c>
      <c r="G20" s="272"/>
      <c r="I20" s="386"/>
      <c r="J20" s="386"/>
      <c r="K20" s="386"/>
    </row>
    <row r="21" spans="2:24" s="263" customFormat="1">
      <c r="C21" s="267" t="s">
        <v>4</v>
      </c>
      <c r="D21" s="18">
        <f>LOOKUP(D18,Materials[[#All],[Refe-rence]],Materials[[#All],[Density (kg/m3)]])*D20*(D19/1000)^2*PI()</f>
        <v>0.14628040793277475</v>
      </c>
      <c r="E21" s="263" t="s">
        <v>1</v>
      </c>
      <c r="G21" s="272"/>
      <c r="H21" s="248"/>
      <c r="I21" s="263" t="s">
        <v>1530</v>
      </c>
      <c r="J21" s="176">
        <f>LOOKUP(D7,Materials[[#All],[Refe-rence]],Materials[[#All],[Youngs Modulus (Gpa)]])*1000000000*PI()^2*PI()/2*(D8/1000)^4/(0.5*D9)^2</f>
        <v>523856.65044848918</v>
      </c>
      <c r="K21" s="263" t="s">
        <v>412</v>
      </c>
    </row>
    <row r="22" spans="2:24" s="263" customFormat="1" ht="14.65" thickBot="1">
      <c r="C22" s="267" t="s">
        <v>880</v>
      </c>
      <c r="D22" s="167">
        <f>D20*1000/(D19*2)</f>
        <v>25</v>
      </c>
      <c r="G22" s="272"/>
      <c r="I22" s="263" t="s">
        <v>1552</v>
      </c>
      <c r="J22" s="1">
        <f>0.0000012566*D25*1000000/(2*PI()*D13/1000)*D25*1000000*D9/1000000</f>
        <v>39.998820297855133</v>
      </c>
      <c r="K22" s="263" t="s">
        <v>1553</v>
      </c>
    </row>
    <row r="23" spans="2:24" s="263" customFormat="1" ht="14.65" thickTop="1">
      <c r="C23" s="267"/>
      <c r="G23" s="272" t="s">
        <v>1712</v>
      </c>
      <c r="H23" s="184">
        <v>1.1000000000000001</v>
      </c>
      <c r="I23" s="712" t="str">
        <f>IF(J21/H23&lt;J8/2,"Rail will buckle under load","")</f>
        <v/>
      </c>
      <c r="J23" s="713"/>
      <c r="K23" s="714"/>
    </row>
    <row r="24" spans="2:24" ht="14.65" thickBot="1">
      <c r="B24" t="s">
        <v>1527</v>
      </c>
      <c r="G24" s="272" t="s">
        <v>1712</v>
      </c>
      <c r="H24" s="184">
        <v>5</v>
      </c>
      <c r="I24" s="709" t="str">
        <f>IF(J22/((D8/1000)*2*D9)&gt;LOOKUP(D7,Material!A:A,Material!AM:AM)/H24,"Rail cannot survive mutual repel","")</f>
        <v/>
      </c>
      <c r="J24" s="710"/>
      <c r="K24" s="711"/>
    </row>
    <row r="25" spans="2:24" ht="14.65" thickTop="1">
      <c r="C25" t="s">
        <v>501</v>
      </c>
      <c r="D25" s="185">
        <v>2</v>
      </c>
      <c r="E25" s="263" t="s">
        <v>1519</v>
      </c>
      <c r="I25" s="263" t="s">
        <v>1549</v>
      </c>
      <c r="J25" s="7">
        <f>(D8/1000)^2*PI()*D9*2*LOOKUP(D7,Materials[[#All],[Refe-rence]],Materials[[#All],[Density (kg/m3)]])</f>
        <v>147.51833366836587</v>
      </c>
      <c r="K25" s="263" t="s">
        <v>1</v>
      </c>
      <c r="M25" t="s">
        <v>2044</v>
      </c>
      <c r="N25" s="171"/>
    </row>
    <row r="26" spans="2:24">
      <c r="I26" s="139" t="s">
        <v>2043</v>
      </c>
      <c r="J26" s="139">
        <f>1/3*J25*D9^2</f>
        <v>786.76444623128464</v>
      </c>
      <c r="K26" s="137" t="s">
        <v>920</v>
      </c>
      <c r="M26" t="s">
        <v>1547</v>
      </c>
      <c r="N26" s="171"/>
      <c r="S26" s="387" t="s">
        <v>1539</v>
      </c>
      <c r="T26" s="171"/>
      <c r="U26" s="387"/>
      <c r="V26" s="387"/>
      <c r="W26" s="387"/>
    </row>
    <row r="27" spans="2:24">
      <c r="B27" t="s">
        <v>2045</v>
      </c>
      <c r="I27" t="s">
        <v>1548</v>
      </c>
      <c r="J27" s="1">
        <f>J9*(D25*1000000)^2*(D10/1000000)*J12^3/6/1000+1/9*J15*1000</f>
        <v>465.36174422061873</v>
      </c>
      <c r="K27" t="s">
        <v>1551</v>
      </c>
      <c r="N27" s="171" t="s">
        <v>1528</v>
      </c>
      <c r="O27" s="184">
        <v>1.1000000000000001</v>
      </c>
      <c r="S27" s="387"/>
      <c r="T27" s="171" t="s">
        <v>1542</v>
      </c>
      <c r="U27" s="184">
        <v>87</v>
      </c>
      <c r="V27" s="672" t="str">
        <f>LOOKUP(U27,Material!A:A,Material!B:B)</f>
        <v>Hafnia</v>
      </c>
      <c r="W27" s="596"/>
      <c r="X27" s="596"/>
    </row>
    <row r="28" spans="2:24">
      <c r="C28" s="171" t="s">
        <v>2046</v>
      </c>
      <c r="D28" s="184">
        <v>30</v>
      </c>
      <c r="E28" t="s">
        <v>2048</v>
      </c>
      <c r="I28" s="170" t="s">
        <v>1550</v>
      </c>
      <c r="J28" s="1">
        <f>J27*1000/(J25*LOOKUP(D7,Materials[[#All],[Refe-rence]],Materials[[#All],[Specific Heat (J/kgK)]]))</f>
        <v>8.1937734321740177</v>
      </c>
      <c r="K28" t="s">
        <v>394</v>
      </c>
      <c r="N28" s="171" t="s">
        <v>3</v>
      </c>
      <c r="O28" s="184">
        <v>192</v>
      </c>
      <c r="P28" s="672" t="str">
        <f>LOOKUP(O28,Material!A:A,Material!B:B)</f>
        <v>Vanadium Chromium Steel</v>
      </c>
      <c r="Q28" s="659"/>
      <c r="R28" s="659"/>
      <c r="S28" s="387"/>
      <c r="T28" s="171" t="s">
        <v>1541</v>
      </c>
      <c r="U28" s="285">
        <v>4</v>
      </c>
      <c r="V28" s="387" t="s">
        <v>1546</v>
      </c>
      <c r="W28" s="387"/>
    </row>
    <row r="29" spans="2:24">
      <c r="C29" s="171" t="s">
        <v>2047</v>
      </c>
      <c r="D29" s="184">
        <v>1</v>
      </c>
      <c r="E29" t="s">
        <v>2036</v>
      </c>
      <c r="G29" s="270"/>
      <c r="N29" s="266" t="s">
        <v>5</v>
      </c>
      <c r="O29" s="184">
        <v>0.3</v>
      </c>
      <c r="P29" t="s">
        <v>2</v>
      </c>
      <c r="S29" s="387"/>
      <c r="T29" s="291" t="s">
        <v>1540</v>
      </c>
      <c r="U29" s="397">
        <f>(D25*1000000*J12*U28/1000000)/(LOOKUP(U27,Materials[[#All],[Refe-rence]],Materials[[#All],[Relative Permittivity]])*0.000000000008854*(Railgun!U28/1000000*LOOKUP(Railgun!U27,Materials[[#All],[Refe-rence]],Materials[[#All],[Dielectric Strength (MV/m)]])*1000000-Railgun!X8))</f>
        <v>19805.792675832592</v>
      </c>
      <c r="V29" s="74" t="s">
        <v>667</v>
      </c>
      <c r="W29" s="387"/>
    </row>
    <row r="30" spans="2:24">
      <c r="I30" t="s">
        <v>2037</v>
      </c>
      <c r="N30" s="171" t="s">
        <v>2193</v>
      </c>
      <c r="O30" s="491">
        <v>10</v>
      </c>
      <c r="P30" t="s">
        <v>2194</v>
      </c>
      <c r="S30" s="387"/>
      <c r="T30" s="171" t="s">
        <v>1543</v>
      </c>
      <c r="U30" s="1">
        <f>U29*LOOKUP(U27,Materials[[#All],[Refe-rence]],Materials[[#All],[Relative Permittivity]])*0.000000000008854/(U28/1000000)</f>
        <v>1.0960030521988859</v>
      </c>
      <c r="V30" s="387" t="s">
        <v>416</v>
      </c>
      <c r="W30" s="387"/>
    </row>
    <row r="31" spans="2:24" ht="14.65" thickBot="1">
      <c r="I31" s="171" t="s">
        <v>2049</v>
      </c>
      <c r="J31" s="175">
        <f>J14/D28</f>
        <v>0.26819862625071322</v>
      </c>
      <c r="K31" t="s">
        <v>988</v>
      </c>
      <c r="N31" s="527" t="s">
        <v>848</v>
      </c>
      <c r="O31" s="28">
        <f>0.5*LOOKUP(O28,Materials[[#All],[Refe-rence]],Materials[[#All],[Yield Strength (Mpa)]])*1000000/Railgun!O27/LOOKUP(Railgun!O28,Materials[[#All],[Refe-rence]],Materials[[#All],[Density (kg/m3)]])*O29^2/1000</f>
        <v>28.394752898108599</v>
      </c>
      <c r="P31" s="29" t="s">
        <v>1008</v>
      </c>
      <c r="S31" s="387"/>
      <c r="T31" s="171" t="s">
        <v>1544</v>
      </c>
      <c r="U31" s="387">
        <f>LOOKUP(U27,Materials[[#All],[Refe-rence]],Materials[[#All],[Dielectric Strength (MV/m)]])*1000000*U28/1000000</f>
        <v>4000</v>
      </c>
      <c r="V31" s="387" t="s">
        <v>442</v>
      </c>
      <c r="W31" s="387"/>
    </row>
    <row r="32" spans="2:24" ht="15" thickTop="1" thickBot="1">
      <c r="I32" t="s">
        <v>2050</v>
      </c>
      <c r="J32" s="175">
        <f>60/(J31+J12)</f>
        <v>221.92131211520805</v>
      </c>
      <c r="K32" t="s">
        <v>2051</v>
      </c>
      <c r="N32" s="171" t="s">
        <v>2</v>
      </c>
      <c r="O32" s="1">
        <f>J14*1000/O31</f>
        <v>283.36076092626763</v>
      </c>
      <c r="P32" t="s">
        <v>1</v>
      </c>
      <c r="S32" s="387"/>
      <c r="T32" s="706" t="str">
        <f>IF(X8&gt;U31,"Capacitor Breakdown","")</f>
        <v/>
      </c>
      <c r="U32" s="707"/>
      <c r="V32" s="387"/>
      <c r="W32" s="387"/>
    </row>
    <row r="33" spans="10:23" ht="14.65" thickTop="1">
      <c r="J33" s="1">
        <f>J32/60</f>
        <v>3.6986885352534675</v>
      </c>
      <c r="K33" t="s">
        <v>993</v>
      </c>
      <c r="N33" s="171" t="s">
        <v>1531</v>
      </c>
      <c r="O33" s="1">
        <f>O32/LOOKUP(O28,Materials[Refe-rence],Materials[Density (kg/m3)])/(PI()*((1.125*O29)^2-(0.875*O29)^2))</f>
        <v>0.26904259972973199</v>
      </c>
      <c r="P33" t="s">
        <v>2</v>
      </c>
      <c r="S33" s="387"/>
      <c r="T33" s="117" t="s">
        <v>442</v>
      </c>
      <c r="U33" s="1">
        <f>U29*U28*0.000001</f>
        <v>7.9223170703330362E-2</v>
      </c>
      <c r="V33" s="117" t="s">
        <v>850</v>
      </c>
      <c r="W33" s="387"/>
    </row>
    <row r="34" spans="10:23">
      <c r="N34" s="171" t="s">
        <v>2195</v>
      </c>
      <c r="O34">
        <f>X8*D25*1000/O30</f>
        <v>8952.8358996243351</v>
      </c>
      <c r="P34" t="s">
        <v>1</v>
      </c>
      <c r="S34" s="387"/>
      <c r="T34" s="387" t="s">
        <v>4</v>
      </c>
      <c r="U34" s="167">
        <f>U29*U28*0.000001*LOOKUP(U27,Materials[[#All],[Refe-rence]],Materials[[#All],[Density (kg/m3)]])</f>
        <v>766.88029240823789</v>
      </c>
      <c r="V34" s="387" t="s">
        <v>1</v>
      </c>
      <c r="W34" s="387"/>
    </row>
  </sheetData>
  <mergeCells count="11">
    <mergeCell ref="B1:F2"/>
    <mergeCell ref="E7:F7"/>
    <mergeCell ref="E12:F12"/>
    <mergeCell ref="E18:F18"/>
    <mergeCell ref="I24:K24"/>
    <mergeCell ref="I23:K23"/>
    <mergeCell ref="V27:X27"/>
    <mergeCell ref="P28:R28"/>
    <mergeCell ref="I19:K19"/>
    <mergeCell ref="T32:U32"/>
    <mergeCell ref="B4:K4"/>
  </mergeCells>
  <conditionalFormatting sqref="J16">
    <cfRule type="dataBar" priority="1">
      <dataBar>
        <cfvo type="num" val="0"/>
        <cfvo type="num" val="1"/>
        <color theme="4" tint="0.59999389629810485"/>
      </dataBar>
      <extLst>
        <ext xmlns:x14="http://schemas.microsoft.com/office/spreadsheetml/2009/9/main" uri="{B025F937-C7B1-47D3-B67F-A62EFF666E3E}">
          <x14:id>{770A54D4-F9D4-4D94-BA48-8DD59F0D52B9}</x14:id>
        </ext>
      </extLst>
    </cfRule>
  </conditionalFormatting>
  <dataValidations count="6">
    <dataValidation type="decimal" operator="greaterThan" allowBlank="1" showInputMessage="1" showErrorMessage="1" sqref="U28 D25 O29 D20:D21 D14:D16 U29 D9 D28:D29 O30" xr:uid="{DE9BD46D-C37F-4AAE-89C0-7FDF85C9572A}">
      <formula1>0</formula1>
    </dataValidation>
    <dataValidation type="whole" operator="greaterThan" allowBlank="1" showInputMessage="1" showErrorMessage="1" sqref="D7 D12 D18 O28 U27" xr:uid="{B86ECD74-594C-4842-8BDF-10272FB94762}">
      <formula1>0</formula1>
    </dataValidation>
    <dataValidation type="decimal" allowBlank="1" showInputMessage="1" showErrorMessage="1" sqref="D19" xr:uid="{AD765D01-AC02-4DF6-A6C1-00E2AFC9E5CA}">
      <formula1>0</formula1>
      <formula2>(D13-2*D8)/2</formula2>
    </dataValidation>
    <dataValidation type="decimal" operator="greaterThan" allowBlank="1" showInputMessage="1" showErrorMessage="1" sqref="O27 H23:H24" xr:uid="{CD79A1DA-1F69-44E7-B00D-0115F413FA97}">
      <formula1>1</formula1>
    </dataValidation>
    <dataValidation type="decimal" operator="greaterThan" allowBlank="1" showInputMessage="1" showErrorMessage="1" sqref="D13" xr:uid="{388C1922-A3BF-48BF-B7C9-B082E0B7C0DA}">
      <formula1>D19*2+D8*2</formula1>
    </dataValidation>
    <dataValidation type="decimal" allowBlank="1" showInputMessage="1" showErrorMessage="1" sqref="D8" xr:uid="{FA28C8C9-ACE8-4DD8-BA9F-F56ED55F6E69}">
      <formula1>D19</formula1>
      <formula2>(D13-2*D19)/2</formula2>
    </dataValidation>
  </dataValidations>
  <pageMargins left="0.7" right="0.7" top="0.75" bottom="0.75" header="0.3" footer="0.3"/>
  <pageSetup orientation="portrait" verticalDpi="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770A54D4-F9D4-4D94-BA48-8DD59F0D52B9}">
            <x14:dataBar minLength="0" maxLength="100" gradient="0">
              <x14:cfvo type="num">
                <xm:f>0</xm:f>
              </x14:cfvo>
              <x14:cfvo type="num">
                <xm:f>1</xm:f>
              </x14:cfvo>
              <x14:negativeFillColor rgb="FFFF0000"/>
              <x14:axisColor rgb="FF000000"/>
            </x14:dataBar>
          </x14:cfRule>
          <xm:sqref>J16</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F78D4-BC1D-4C83-B8B3-3DBC62188593}">
  <sheetPr codeName="Sheet15">
    <tabColor theme="4"/>
  </sheetPr>
  <dimension ref="B1:W20"/>
  <sheetViews>
    <sheetView workbookViewId="0">
      <selection activeCell="H9" sqref="H9"/>
    </sheetView>
  </sheetViews>
  <sheetFormatPr defaultRowHeight="14.25"/>
  <cols>
    <col min="1" max="1" width="4.1328125" customWidth="1"/>
    <col min="3" max="3" width="9.1328125" bestFit="1" customWidth="1"/>
    <col min="8" max="8" width="9.19921875" customWidth="1"/>
    <col min="10" max="10" width="3.9296875" customWidth="1"/>
    <col min="11" max="11" width="10.1328125" customWidth="1"/>
    <col min="12" max="12" width="7.33203125" bestFit="1" customWidth="1"/>
    <col min="13" max="17" width="7.06640625" bestFit="1" customWidth="1"/>
    <col min="18" max="18" width="7.53125" bestFit="1" customWidth="1"/>
    <col min="19" max="23" width="7.06640625" bestFit="1" customWidth="1"/>
  </cols>
  <sheetData>
    <row r="1" spans="2:23" ht="15.75">
      <c r="B1" s="563"/>
      <c r="C1" s="563"/>
      <c r="D1" s="563"/>
      <c r="E1" s="563"/>
    </row>
    <row r="2" spans="2:23">
      <c r="B2" s="715" t="s">
        <v>1572</v>
      </c>
      <c r="C2" s="715"/>
      <c r="D2" s="715"/>
      <c r="E2" s="715"/>
      <c r="H2" s="290"/>
      <c r="I2" s="290"/>
      <c r="J2" s="290"/>
      <c r="K2" s="290"/>
      <c r="L2" s="290"/>
      <c r="M2" s="289"/>
      <c r="N2" s="289"/>
      <c r="O2" s="289"/>
      <c r="P2" s="289"/>
      <c r="Q2" s="289"/>
    </row>
    <row r="3" spans="2:23">
      <c r="B3" s="715"/>
      <c r="C3" s="715"/>
      <c r="D3" s="715"/>
      <c r="E3" s="715"/>
      <c r="G3" s="290" t="s">
        <v>1574</v>
      </c>
      <c r="H3" s="289"/>
      <c r="I3" s="289"/>
      <c r="J3" s="289"/>
      <c r="K3" s="289"/>
      <c r="L3" s="289"/>
      <c r="M3" s="289"/>
      <c r="N3" s="289"/>
      <c r="O3" s="289"/>
      <c r="P3" s="289"/>
      <c r="Q3" s="289"/>
    </row>
    <row r="4" spans="2:23">
      <c r="H4" t="s">
        <v>1573</v>
      </c>
    </row>
    <row r="5" spans="2:23">
      <c r="B5" t="s">
        <v>1558</v>
      </c>
    </row>
    <row r="6" spans="2:23" s="286" customFormat="1" ht="14.65" thickBot="1">
      <c r="B6" s="286" t="s">
        <v>9</v>
      </c>
      <c r="C6" s="184">
        <v>1</v>
      </c>
      <c r="D6" s="286" t="s">
        <v>2</v>
      </c>
      <c r="G6" t="s">
        <v>1561</v>
      </c>
      <c r="K6" s="286" t="s">
        <v>1564</v>
      </c>
    </row>
    <row r="7" spans="2:23" ht="13.9" customHeight="1" thickTop="1">
      <c r="G7" s="171" t="s">
        <v>749</v>
      </c>
      <c r="H7" s="167">
        <f>(C14/C9+0.5)^(-0.5)*LOOKUP(C8,Explosive!J:J,Explosive!AB:AB)</f>
        <v>1038.4066293085041</v>
      </c>
      <c r="I7" t="s">
        <v>16</v>
      </c>
      <c r="K7" s="319" t="s">
        <v>1568</v>
      </c>
      <c r="L7" s="320">
        <v>0</v>
      </c>
      <c r="M7" s="321">
        <v>1E-10</v>
      </c>
      <c r="N7" s="321">
        <v>1.0000000000000001E-9</v>
      </c>
      <c r="O7" s="321">
        <v>1E-8</v>
      </c>
      <c r="P7" s="321">
        <v>9.9999999999999995E-8</v>
      </c>
      <c r="Q7" s="321">
        <v>9.9999999999999995E-7</v>
      </c>
      <c r="R7" s="321">
        <v>1.0000000000000001E-5</v>
      </c>
      <c r="S7" s="321">
        <v>1E-4</v>
      </c>
      <c r="T7" s="321">
        <v>1E-3</v>
      </c>
      <c r="U7" s="321">
        <v>0.01</v>
      </c>
      <c r="V7" s="321">
        <v>0.1</v>
      </c>
      <c r="W7" s="334">
        <v>1</v>
      </c>
    </row>
    <row r="8" spans="2:23">
      <c r="B8" t="s">
        <v>1559</v>
      </c>
      <c r="C8" s="184">
        <v>1</v>
      </c>
      <c r="D8" s="596" t="str">
        <f>LOOKUP(C8,Explosive!J:J,Explosive!K:K)</f>
        <v>Nitrocellulose</v>
      </c>
      <c r="E8" s="596"/>
      <c r="K8" s="322" t="s">
        <v>1565</v>
      </c>
      <c r="L8" s="323">
        <f t="shared" ref="L8:W8" si="0">L7*$C$14</f>
        <v>0</v>
      </c>
      <c r="M8" s="323">
        <f t="shared" si="0"/>
        <v>5.0000000000000003E-10</v>
      </c>
      <c r="N8" s="323">
        <f t="shared" si="0"/>
        <v>5.0000000000000001E-9</v>
      </c>
      <c r="O8" s="323">
        <f t="shared" si="0"/>
        <v>4.9999999999999998E-8</v>
      </c>
      <c r="P8" s="323">
        <f t="shared" si="0"/>
        <v>4.9999999999999998E-7</v>
      </c>
      <c r="Q8" s="323">
        <f t="shared" si="0"/>
        <v>4.9999999999999996E-6</v>
      </c>
      <c r="R8" s="323">
        <f t="shared" si="0"/>
        <v>5.0000000000000002E-5</v>
      </c>
      <c r="S8" s="323">
        <f t="shared" si="0"/>
        <v>5.0000000000000001E-4</v>
      </c>
      <c r="T8" s="323">
        <f t="shared" si="0"/>
        <v>5.0000000000000001E-3</v>
      </c>
      <c r="U8" s="323">
        <f t="shared" si="0"/>
        <v>0.05</v>
      </c>
      <c r="V8" s="323">
        <f t="shared" si="0"/>
        <v>0.5</v>
      </c>
      <c r="W8" s="324">
        <f t="shared" si="0"/>
        <v>5</v>
      </c>
    </row>
    <row r="9" spans="2:23">
      <c r="B9" s="171" t="s">
        <v>4</v>
      </c>
      <c r="C9" s="184">
        <v>1</v>
      </c>
      <c r="D9" s="288" t="s">
        <v>1</v>
      </c>
      <c r="E9" s="288"/>
      <c r="G9" s="291" t="s">
        <v>1562</v>
      </c>
      <c r="H9" s="81">
        <f>0.325*(C17*39.37)^(5/6)*(C11*2*39.37)^(1/3)*(1+C17/(C11*2))</f>
        <v>5.5826326567809066E-2</v>
      </c>
      <c r="K9" s="322" t="s">
        <v>1571</v>
      </c>
      <c r="L9" s="325">
        <f>((L8/LOOKUP($C$13,Materials[[#All],[Refe-rence]:[Refe-rence]],Materials[[#All],[Density (kg/m3)]:[Density (kg/m3)]])*0.75/PI())^(1/3))</f>
        <v>0</v>
      </c>
      <c r="M9" s="325">
        <f>((M8/LOOKUP($C$13,Materials[[#All],[Refe-rence]:[Refe-rence]],Materials[[#All],[Density (kg/m3)]:[Density (kg/m3)]])*0.75/PI())^(1/3))</f>
        <v>1.8419705230592739E-5</v>
      </c>
      <c r="N9" s="325">
        <f>((N8/LOOKUP($C$13,Materials[[#All],[Refe-rence]:[Refe-rence]],Materials[[#All],[Density (kg/m3)]:[Density (kg/m3)]])*0.75/PI())^(1/3))</f>
        <v>3.9684051928950772E-5</v>
      </c>
      <c r="O9" s="325">
        <f>((O8/LOOKUP($C$13,Materials[[#All],[Refe-rence]:[Refe-rence]],Materials[[#All],[Density (kg/m3)]:[Density (kg/m3)]])*0.75/PI())^(1/3))</f>
        <v>8.5496698116758164E-5</v>
      </c>
      <c r="P9" s="325">
        <f>((P8/LOOKUP($C$13,Materials[[#All],[Refe-rence]:[Refe-rence]],Materials[[#All],[Density (kg/m3)]:[Density (kg/m3)]])*0.75/PI())^(1/3))</f>
        <v>1.8419705230592726E-4</v>
      </c>
      <c r="Q9" s="325">
        <f>((Q8/LOOKUP($C$13,Materials[[#All],[Refe-rence]:[Refe-rence]],Materials[[#All],[Density (kg/m3)]:[Density (kg/m3)]])*0.75/PI())^(1/3))</f>
        <v>3.9684051928950742E-4</v>
      </c>
      <c r="R9" s="325">
        <f>((R8/LOOKUP($C$13,Materials[[#All],[Refe-rence]:[Refe-rence]],Materials[[#All],[Density (kg/m3)]:[Density (kg/m3)]])*0.75/PI())^(1/3))</f>
        <v>8.5496698116758172E-4</v>
      </c>
      <c r="S9" s="325">
        <f>((S8/LOOKUP($C$13,Materials[[#All],[Refe-rence]:[Refe-rence]],Materials[[#All],[Density (kg/m3)]:[Density (kg/m3)]])*0.75/PI())^(1/3))</f>
        <v>1.8419705230592746E-3</v>
      </c>
      <c r="T9" s="325">
        <f>((T8/LOOKUP($C$13,Materials[[#All],[Refe-rence]:[Refe-rence]],Materials[[#All],[Density (kg/m3)]:[Density (kg/m3)]])*0.75/PI())^(1/3))</f>
        <v>3.9684051928950718E-3</v>
      </c>
      <c r="U9" s="325">
        <f>((U8/LOOKUP($C$13,Materials[[#All],[Refe-rence]:[Refe-rence]],Materials[[#All],[Density (kg/m3)]:[Density (kg/m3)]])*0.75/PI())^(1/3))</f>
        <v>8.5496698116758196E-3</v>
      </c>
      <c r="V9" s="325">
        <f>((V8/LOOKUP($C$13,Materials[[#All],[Refe-rence]:[Refe-rence]],Materials[[#All],[Density (kg/m3)]:[Density (kg/m3)]])*0.75/PI())^(1/3))</f>
        <v>1.8419705230592734E-2</v>
      </c>
      <c r="W9" s="326">
        <f>((W8/LOOKUP($C$13,Materials[[#All],[Refe-rence]:[Refe-rence]],Materials[[#All],[Density (kg/m3)]:[Density (kg/m3)]])*0.75/PI())^(1/3))</f>
        <v>3.9684051928950741E-2</v>
      </c>
    </row>
    <row r="10" spans="2:23" ht="14.65" thickBot="1">
      <c r="E10" s="288"/>
      <c r="G10" s="291" t="s">
        <v>408</v>
      </c>
      <c r="H10" s="79">
        <f>C14/(2*H9^3)</f>
        <v>14368.877869037062</v>
      </c>
      <c r="K10" s="327" t="s">
        <v>1567</v>
      </c>
      <c r="L10" s="328"/>
      <c r="M10" s="329">
        <f>$H$10*$H$9*(EXP(-SQRT(L8)/$H$9)-EXP(-SQRT(M7)/$H$9))</f>
        <v>0.14367591019192569</v>
      </c>
      <c r="N10" s="329">
        <f t="shared" ref="N10:W10" si="1">$H$10*$H$9*(EXP(-SQRT(M7)/$H$9)-EXP(-SQRT(N7)/$H$9))</f>
        <v>0.31057923630491407</v>
      </c>
      <c r="O10" s="329">
        <f t="shared" si="1"/>
        <v>0.98134648178950057</v>
      </c>
      <c r="P10" s="329">
        <f t="shared" si="1"/>
        <v>3.0953915184786798</v>
      </c>
      <c r="Q10" s="329">
        <f t="shared" si="1"/>
        <v>9.7099570359276388</v>
      </c>
      <c r="R10" s="329">
        <f t="shared" si="1"/>
        <v>29.934463659372899</v>
      </c>
      <c r="S10" s="329">
        <f t="shared" si="1"/>
        <v>87.379294996519164</v>
      </c>
      <c r="T10" s="329">
        <f t="shared" si="1"/>
        <v>215.35046035633741</v>
      </c>
      <c r="U10" s="329">
        <f t="shared" si="1"/>
        <v>321.49737533767399</v>
      </c>
      <c r="V10" s="329">
        <f t="shared" si="1"/>
        <v>130.97810197073505</v>
      </c>
      <c r="W10" s="330">
        <f t="shared" si="1"/>
        <v>2.7810084950580145</v>
      </c>
    </row>
    <row r="11" spans="2:23" ht="14.65" thickTop="1">
      <c r="B11" s="171" t="s">
        <v>687</v>
      </c>
      <c r="C11" s="18">
        <f>SQRT((C9/LOOKUP(LOOKUP(C8,Explosive!J:J,Explosive!L:L),Materials[[#All],[Refe-rence]],Materials[[#All],[Density (kg/m3)]]))/C6/PI())</f>
        <v>1.4616114261201702E-2</v>
      </c>
      <c r="D11" s="288" t="s">
        <v>2</v>
      </c>
      <c r="E11" s="288"/>
    </row>
    <row r="12" spans="2:23">
      <c r="G12" s="171" t="s">
        <v>412</v>
      </c>
      <c r="H12" s="167">
        <f>H10*(H9-H9*EXP(-SQRT(C14)/H9))</f>
        <v>802.16166832982742</v>
      </c>
    </row>
    <row r="13" spans="2:23">
      <c r="B13" s="288" t="s">
        <v>1560</v>
      </c>
      <c r="C13" s="184">
        <v>90</v>
      </c>
      <c r="D13" s="672" t="str">
        <f>LOOKUP(C13,Material!A:A,Material!B:B)</f>
        <v>Depleted Uranium</v>
      </c>
      <c r="E13" s="659"/>
      <c r="G13" s="171" t="s">
        <v>1566</v>
      </c>
      <c r="H13" s="18">
        <f>C14/H12</f>
        <v>6.2331574761113288E-3</v>
      </c>
      <c r="I13" t="s">
        <v>1</v>
      </c>
      <c r="K13" t="s">
        <v>1620</v>
      </c>
    </row>
    <row r="14" spans="2:23">
      <c r="B14" s="171" t="s">
        <v>4</v>
      </c>
      <c r="C14" s="184">
        <v>5</v>
      </c>
      <c r="D14" s="288" t="s">
        <v>1</v>
      </c>
      <c r="E14" s="288"/>
      <c r="G14" s="171" t="s">
        <v>1569</v>
      </c>
      <c r="H14" s="167">
        <f>H7^2*H13/2</f>
        <v>3360.5704758896732</v>
      </c>
      <c r="I14" t="s">
        <v>27</v>
      </c>
      <c r="K14" t="s">
        <v>1621</v>
      </c>
      <c r="P14" t="s">
        <v>1623</v>
      </c>
    </row>
    <row r="15" spans="2:23">
      <c r="G15" s="171" t="s">
        <v>1570</v>
      </c>
      <c r="H15" s="172">
        <f>H14*H12</f>
        <v>2695720.8194796224</v>
      </c>
      <c r="I15" t="s">
        <v>27</v>
      </c>
      <c r="L15" t="s">
        <v>1540</v>
      </c>
      <c r="M15" s="184">
        <v>8.0000000000000002E-3</v>
      </c>
      <c r="N15" t="s">
        <v>667</v>
      </c>
      <c r="Q15" s="171" t="s">
        <v>1624</v>
      </c>
      <c r="R15" s="167">
        <f>SQRT(M16^2+H7^2)</f>
        <v>1441.6269724834676</v>
      </c>
      <c r="S15" s="335" t="s">
        <v>1625</v>
      </c>
    </row>
    <row r="16" spans="2:23">
      <c r="B16" s="266" t="s">
        <v>1563</v>
      </c>
      <c r="C16" s="18">
        <f>SQRT(C14/LOOKUP(Flak!C13,Materials[[#All],[Refe-rence]],Materials[[#All],[Density (kg/m3)]])/C6/PI()+C11^2)</f>
        <v>1.7232469104355726E-2</v>
      </c>
      <c r="D16" s="117" t="s">
        <v>2</v>
      </c>
      <c r="L16" t="s">
        <v>1622</v>
      </c>
      <c r="M16" s="184">
        <v>1000</v>
      </c>
      <c r="N16" t="s">
        <v>16</v>
      </c>
      <c r="Q16" s="171" t="s">
        <v>1617</v>
      </c>
      <c r="R16" s="184">
        <v>3.8999999999999998E-3</v>
      </c>
      <c r="S16" t="s">
        <v>2</v>
      </c>
    </row>
    <row r="17" spans="2:19" ht="14.65" thickBot="1">
      <c r="B17" s="266" t="s">
        <v>1521</v>
      </c>
      <c r="C17" s="18">
        <f>C16-C11</f>
        <v>2.6163548431540236E-3</v>
      </c>
      <c r="D17" s="117" t="s">
        <v>2</v>
      </c>
      <c r="R17">
        <f>R16*100</f>
        <v>0.38999999999999996</v>
      </c>
      <c r="S17" t="s">
        <v>748</v>
      </c>
    </row>
    <row r="18" spans="2:19" ht="15" thickTop="1" thickBot="1">
      <c r="L18" s="171" t="s">
        <v>1628</v>
      </c>
      <c r="M18" s="336">
        <f>SQRT(M15*R20/PI())</f>
        <v>0.77115029114614564</v>
      </c>
      <c r="N18" t="s">
        <v>2</v>
      </c>
      <c r="Q18" t="s">
        <v>1618</v>
      </c>
      <c r="R18" s="333">
        <f>4/3*PI()*R16^3*LOOKUP(C13,Materials[[#All],[Refe-rence]],Materials[[#All],[Density (kg/m3)]])</f>
        <v>4.7458695616125254E-3</v>
      </c>
      <c r="S18" t="s">
        <v>1</v>
      </c>
    </row>
    <row r="19" spans="2:19" ht="14.65" thickTop="1">
      <c r="L19" s="171" t="s">
        <v>1626</v>
      </c>
      <c r="M19" s="1">
        <f>M18/H7*1000</f>
        <v>0.74262843608738338</v>
      </c>
      <c r="N19" t="s">
        <v>1123</v>
      </c>
      <c r="R19" s="1">
        <f>R18*1000</f>
        <v>4.7458695616125253</v>
      </c>
      <c r="S19" t="s">
        <v>753</v>
      </c>
    </row>
    <row r="20" spans="2:19" ht="14.25" customHeight="1">
      <c r="L20" s="171" t="s">
        <v>1627</v>
      </c>
      <c r="M20" s="1">
        <f>M19/1000*M16</f>
        <v>0.74262843608738338</v>
      </c>
      <c r="N20" t="s">
        <v>2</v>
      </c>
      <c r="Q20" t="s">
        <v>1619</v>
      </c>
      <c r="R20" s="1">
        <f>$H$10*$H$9*(EXP(-SQRT(R18)/$H$9)-EXP(-SQRT(C9)/$H$9))</f>
        <v>233.52745129294533</v>
      </c>
      <c r="S20" s="248">
        <f>R20/H12</f>
        <v>0.29112267578076928</v>
      </c>
    </row>
  </sheetData>
  <mergeCells count="3">
    <mergeCell ref="B2:E3"/>
    <mergeCell ref="D8:E8"/>
    <mergeCell ref="D13:E13"/>
  </mergeCells>
  <conditionalFormatting sqref="S20">
    <cfRule type="dataBar" priority="1">
      <dataBar>
        <cfvo type="num" val="0"/>
        <cfvo type="num" val="1"/>
        <color rgb="FF638EC6"/>
      </dataBar>
      <extLst>
        <ext xmlns:x14="http://schemas.microsoft.com/office/spreadsheetml/2009/9/main" uri="{B025F937-C7B1-47D3-B67F-A62EFF666E3E}">
          <x14:id>{F83B9E0A-008B-4C99-B5A5-B4648C1666EA}</x14:id>
        </ext>
      </extLst>
    </cfRule>
  </conditionalFormatting>
  <dataValidations count="2">
    <dataValidation type="whole" operator="greaterThan" allowBlank="1" showInputMessage="1" showErrorMessage="1" sqref="C8 C13" xr:uid="{FD6AC04A-2674-48C1-BB63-CFD3F0FBFE3B}">
      <formula1>0</formula1>
    </dataValidation>
    <dataValidation type="decimal" operator="greaterThan" allowBlank="1" showInputMessage="1" showErrorMessage="1" sqref="C9 C14 C6 R16 M15 M16" xr:uid="{D022CF29-AB1C-4CBF-B9AE-9E4CE244E44F}">
      <formula1>0</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83B9E0A-008B-4C99-B5A5-B4648C1666EA}">
            <x14:dataBar minLength="0" maxLength="100" gradient="0">
              <x14:cfvo type="num">
                <xm:f>0</xm:f>
              </x14:cfvo>
              <x14:cfvo type="num">
                <xm:f>1</xm:f>
              </x14:cfvo>
              <x14:negativeFillColor rgb="FFFF0000"/>
              <x14:axisColor rgb="FF000000"/>
            </x14:dataBar>
          </x14:cfRule>
          <xm:sqref>S20</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458C7-98FE-4B98-AC4D-1810CA619887}">
  <sheetPr>
    <tabColor theme="4"/>
  </sheetPr>
  <dimension ref="A1:AM27"/>
  <sheetViews>
    <sheetView workbookViewId="0">
      <selection activeCell="R26" sqref="R26"/>
    </sheetView>
  </sheetViews>
  <sheetFormatPr defaultRowHeight="14.25"/>
  <cols>
    <col min="4" max="4" width="9.9296875" customWidth="1"/>
    <col min="9" max="9" width="9.06640625" style="1"/>
    <col min="11" max="11" width="9.06640625" style="562"/>
    <col min="12" max="12" width="8.33203125" customWidth="1"/>
    <col min="13" max="13" width="8.73046875" customWidth="1"/>
    <col min="14" max="14" width="7" customWidth="1"/>
    <col min="15" max="15" width="9.06640625" style="562"/>
    <col min="18" max="18" width="7.1328125" style="1" customWidth="1"/>
    <col min="21" max="21" width="5.33203125" customWidth="1"/>
  </cols>
  <sheetData>
    <row r="1" spans="1:39">
      <c r="A1" t="s">
        <v>2268</v>
      </c>
    </row>
    <row r="2" spans="1:39">
      <c r="X2" s="562"/>
      <c r="AA2" s="1"/>
    </row>
    <row r="3" spans="1:39" ht="43.9" customHeight="1">
      <c r="B3" t="s">
        <v>2269</v>
      </c>
      <c r="U3" t="s">
        <v>965</v>
      </c>
      <c r="V3" s="565" t="s">
        <v>2278</v>
      </c>
      <c r="W3" t="s">
        <v>2276</v>
      </c>
      <c r="X3" s="561" t="s">
        <v>2280</v>
      </c>
      <c r="Y3" s="561" t="s">
        <v>2286</v>
      </c>
      <c r="Z3" t="s">
        <v>2277</v>
      </c>
      <c r="AA3" s="1" t="s">
        <v>2279</v>
      </c>
      <c r="AB3" s="561" t="s">
        <v>2285</v>
      </c>
      <c r="AC3" s="567" t="s">
        <v>2311</v>
      </c>
      <c r="AE3" s="189"/>
    </row>
    <row r="4" spans="1:39">
      <c r="L4" t="s">
        <v>2306</v>
      </c>
      <c r="U4">
        <v>1</v>
      </c>
      <c r="V4" t="s">
        <v>2282</v>
      </c>
      <c r="W4">
        <v>32</v>
      </c>
      <c r="X4" s="562">
        <v>2</v>
      </c>
      <c r="Y4">
        <f>LOOKUP(W4,Materials[[#All],[Refe-rence]],Materials[[#All],[Molar mass (g/mol)]])/Table7[[#This Row],[Bound in Gas]]</f>
        <v>1.008</v>
      </c>
      <c r="Z4">
        <v>1</v>
      </c>
      <c r="AA4" s="1">
        <f>Y4/Z4</f>
        <v>1.008</v>
      </c>
      <c r="AB4">
        <v>13.6</v>
      </c>
      <c r="AC4">
        <v>1</v>
      </c>
    </row>
    <row r="5" spans="1:39">
      <c r="B5" t="s">
        <v>2270</v>
      </c>
      <c r="D5" t="s">
        <v>2271</v>
      </c>
      <c r="F5" t="s">
        <v>2290</v>
      </c>
      <c r="H5" s="171" t="s">
        <v>2299</v>
      </c>
      <c r="L5" t="s">
        <v>2307</v>
      </c>
      <c r="M5" s="188">
        <v>40</v>
      </c>
      <c r="N5" t="s">
        <v>2289</v>
      </c>
      <c r="U5">
        <v>2</v>
      </c>
      <c r="V5" t="s">
        <v>2281</v>
      </c>
      <c r="W5">
        <v>212</v>
      </c>
      <c r="X5" s="562">
        <v>1</v>
      </c>
      <c r="Y5" s="562">
        <f>LOOKUP(W5,Materials[[#All],[Refe-rence]],Materials[[#All],[Molar mass (g/mol)]])/Table7[[#This Row],[Bound in Gas]]</f>
        <v>3.016</v>
      </c>
      <c r="Z5">
        <v>1</v>
      </c>
      <c r="AA5" s="1">
        <f>Y5/Z5</f>
        <v>3.016</v>
      </c>
      <c r="AB5">
        <v>24.6</v>
      </c>
      <c r="AC5">
        <v>2</v>
      </c>
      <c r="AF5" s="248"/>
      <c r="AG5" s="248"/>
      <c r="AH5" s="248"/>
      <c r="AI5" s="248"/>
      <c r="AJ5" s="248"/>
      <c r="AK5" s="248"/>
      <c r="AL5" s="248"/>
      <c r="AM5" s="248"/>
    </row>
    <row r="6" spans="1:39">
      <c r="B6" t="str">
        <f>"   \e = "&amp;ROUND(D22,3)</f>
        <v xml:space="preserve">   \e = 0.794</v>
      </c>
      <c r="D6" t="str">
        <f>"      "&amp;ROUND(I20,1)&amp;"m"</f>
        <v xml:space="preserve">      25m</v>
      </c>
      <c r="M6" s="184">
        <v>130</v>
      </c>
      <c r="N6" t="s">
        <v>2309</v>
      </c>
      <c r="U6" s="562">
        <v>3</v>
      </c>
      <c r="V6" t="s">
        <v>2283</v>
      </c>
      <c r="W6">
        <v>104</v>
      </c>
      <c r="X6" s="562">
        <v>1</v>
      </c>
      <c r="Y6" s="132">
        <f>LOOKUP(W6,Materials[[#All],[Refe-rence]],Materials[[#All],[Molar mass (g/mol)]])/Table7[[#This Row],[Bound in Gas]]</f>
        <v>4.0030000000000001</v>
      </c>
      <c r="Z6">
        <v>1</v>
      </c>
      <c r="AA6" s="1">
        <f>Y6/Z6</f>
        <v>4.0030000000000001</v>
      </c>
      <c r="AB6">
        <v>24.6</v>
      </c>
      <c r="AC6">
        <v>2</v>
      </c>
      <c r="AF6" s="248"/>
      <c r="AG6" s="248"/>
      <c r="AH6" s="248"/>
      <c r="AI6" s="248"/>
      <c r="AJ6" s="248"/>
      <c r="AK6" s="248"/>
      <c r="AL6" s="248"/>
      <c r="AM6" s="248"/>
    </row>
    <row r="7" spans="1:39">
      <c r="U7" s="562">
        <v>4</v>
      </c>
      <c r="V7" t="s">
        <v>2300</v>
      </c>
      <c r="W7">
        <v>212</v>
      </c>
      <c r="X7" s="562">
        <v>1</v>
      </c>
      <c r="Y7" s="132">
        <f>LOOKUP(W7,Materials[[#All],[Refe-rence]],Materials[[#All],[Molar mass (g/mol)]])/Table7[[#This Row],[Bound in Gas]]</f>
        <v>3.016</v>
      </c>
      <c r="Z7">
        <v>2</v>
      </c>
      <c r="AA7" s="1">
        <f t="shared" ref="AA7:AA9" si="0">Y7/Z7</f>
        <v>1.508</v>
      </c>
      <c r="AB7">
        <v>79</v>
      </c>
      <c r="AC7">
        <v>2</v>
      </c>
    </row>
    <row r="8" spans="1:39">
      <c r="K8" s="137"/>
      <c r="L8" t="s">
        <v>1863</v>
      </c>
      <c r="U8" s="562">
        <v>5</v>
      </c>
      <c r="V8" t="s">
        <v>2301</v>
      </c>
      <c r="W8">
        <v>104</v>
      </c>
      <c r="X8" s="562">
        <v>1</v>
      </c>
      <c r="Y8" s="132">
        <f>LOOKUP(W8,Materials[[#All],[Refe-rence]],Materials[[#All],[Molar mass (g/mol)]])/Table7[[#This Row],[Bound in Gas]]</f>
        <v>4.0030000000000001</v>
      </c>
      <c r="Z8">
        <v>2</v>
      </c>
      <c r="AA8" s="1">
        <f t="shared" si="0"/>
        <v>2.0015000000000001</v>
      </c>
      <c r="AB8">
        <v>79</v>
      </c>
      <c r="AC8">
        <v>2</v>
      </c>
    </row>
    <row r="9" spans="1:39">
      <c r="K9" s="137"/>
      <c r="L9" t="s">
        <v>642</v>
      </c>
      <c r="M9" s="184">
        <v>14.7</v>
      </c>
      <c r="N9" t="s">
        <v>2308</v>
      </c>
      <c r="U9" s="562"/>
      <c r="X9" s="562"/>
      <c r="Y9" s="132" t="e">
        <f>LOOKUP(W9,Materials[[#All],[Refe-rence]],Materials[[#All],[Molar mass (g/mol)]])/Table7[[#This Row],[Bound in Gas]]</f>
        <v>#N/A</v>
      </c>
      <c r="AA9" s="1" t="e">
        <f t="shared" si="0"/>
        <v>#N/A</v>
      </c>
    </row>
    <row r="10" spans="1:39">
      <c r="D10" t="s">
        <v>2303</v>
      </c>
      <c r="L10" t="s">
        <v>1525</v>
      </c>
      <c r="M10" s="86">
        <v>0.88</v>
      </c>
      <c r="X10" s="562"/>
      <c r="AA10" s="1"/>
    </row>
    <row r="11" spans="1:39">
      <c r="X11" s="562"/>
      <c r="AA11" s="1"/>
    </row>
    <row r="12" spans="1:39">
      <c r="L12" t="s">
        <v>2320</v>
      </c>
    </row>
    <row r="13" spans="1:39">
      <c r="L13" t="s">
        <v>642</v>
      </c>
      <c r="M13" s="388">
        <v>2.9999999999999997E-4</v>
      </c>
      <c r="N13" t="s">
        <v>2319</v>
      </c>
    </row>
    <row r="14" spans="1:39">
      <c r="B14" s="564" t="s">
        <v>2272</v>
      </c>
    </row>
    <row r="16" spans="1:39">
      <c r="B16" t="s">
        <v>2270</v>
      </c>
      <c r="G16" t="s">
        <v>2305</v>
      </c>
      <c r="L16" t="s">
        <v>2314</v>
      </c>
      <c r="P16" t="s">
        <v>2315</v>
      </c>
    </row>
    <row r="17" spans="2:18">
      <c r="B17" s="596" t="s">
        <v>2275</v>
      </c>
      <c r="C17" s="596"/>
      <c r="D17" s="596"/>
      <c r="E17" s="596"/>
      <c r="G17" s="596" t="s">
        <v>2288</v>
      </c>
      <c r="H17" s="666"/>
      <c r="L17" s="568" t="s">
        <v>2313</v>
      </c>
      <c r="M17">
        <f>M6*I20</f>
        <v>3250</v>
      </c>
      <c r="N17" t="s">
        <v>1</v>
      </c>
      <c r="P17" s="171" t="s">
        <v>2316</v>
      </c>
      <c r="Q17" s="184">
        <v>1000</v>
      </c>
      <c r="R17" s="1" t="s">
        <v>1587</v>
      </c>
    </row>
    <row r="18" spans="2:18">
      <c r="C18" s="184">
        <v>1</v>
      </c>
      <c r="D18" s="566" t="str">
        <f>LOOKUP(C18,Table7[Ref],Table7[Ion Species])</f>
        <v>H +</v>
      </c>
      <c r="H18" s="171" t="s">
        <v>2310</v>
      </c>
      <c r="I18" s="188">
        <v>1000</v>
      </c>
      <c r="J18" t="s">
        <v>1119</v>
      </c>
      <c r="L18" s="568" t="s">
        <v>2312</v>
      </c>
      <c r="M18" s="7">
        <f>I19*1000/M9</f>
        <v>3401.3605442176872</v>
      </c>
      <c r="N18" t="s">
        <v>1</v>
      </c>
      <c r="P18" s="171" t="s">
        <v>2317</v>
      </c>
      <c r="Q18" s="184">
        <v>1000</v>
      </c>
      <c r="R18" s="1" t="s">
        <v>1209</v>
      </c>
    </row>
    <row r="19" spans="2:18">
      <c r="C19" t="s">
        <v>2273</v>
      </c>
      <c r="D19" s="184">
        <v>5</v>
      </c>
      <c r="E19" t="s">
        <v>12</v>
      </c>
      <c r="F19" s="137"/>
      <c r="H19" t="s">
        <v>343</v>
      </c>
      <c r="I19" s="188">
        <v>50</v>
      </c>
      <c r="J19" t="s">
        <v>1716</v>
      </c>
      <c r="L19" s="568" t="s">
        <v>2320</v>
      </c>
      <c r="M19" s="7">
        <f>I21/M13</f>
        <v>166.66666666666666</v>
      </c>
      <c r="N19" t="s">
        <v>1</v>
      </c>
    </row>
    <row r="20" spans="2:18">
      <c r="C20" t="s">
        <v>2284</v>
      </c>
      <c r="D20" s="184">
        <v>1</v>
      </c>
      <c r="E20" t="s">
        <v>358</v>
      </c>
      <c r="H20" t="s">
        <v>2302</v>
      </c>
      <c r="I20" s="175">
        <f>I18/(M5*LOOKUP(C18,Table7[Ref],Table7[Charge]))</f>
        <v>25</v>
      </c>
      <c r="J20" t="s">
        <v>2</v>
      </c>
      <c r="L20" s="568"/>
      <c r="P20" s="568" t="s">
        <v>5</v>
      </c>
      <c r="Q20" s="1">
        <f>Q17*1000*D26/2+I27</f>
        <v>5.8271976025409096</v>
      </c>
      <c r="R20" s="1" t="s">
        <v>2</v>
      </c>
    </row>
    <row r="21" spans="2:18">
      <c r="H21" t="s">
        <v>501</v>
      </c>
      <c r="I21" s="1">
        <f>I19*1000000/I22*1.602E-19*LOOKUP(C18,Table7[Ref],Table7[Charge])</f>
        <v>4.9999999999999996E-2</v>
      </c>
      <c r="J21" t="s">
        <v>2318</v>
      </c>
      <c r="L21" s="568"/>
      <c r="P21" s="568" t="s">
        <v>2321</v>
      </c>
      <c r="Q21" s="167">
        <f>0.00331*I18^1.74/(LOOKUP(C18,Table7[Ref],Table7[Proton No.])^2*LOOKUP(C18,Table7[Ref],Table7[Molar mass g/mol]^0.74))*10</f>
        <v>5460.9374235090709</v>
      </c>
      <c r="R21" s="1" t="s">
        <v>1209</v>
      </c>
    </row>
    <row r="22" spans="2:18">
      <c r="C22" s="171" t="s">
        <v>2304</v>
      </c>
      <c r="D22" s="1">
        <f>0.032*D19^2*D20/LOOKUP(C18,Table7[Ref],Table7[MCR])</f>
        <v>0.79365079365079372</v>
      </c>
      <c r="E22" t="s">
        <v>2274</v>
      </c>
      <c r="G22" s="139">
        <f>LOOKUP(C18,Table7[Ref],Table7[Molar mass g/mol])*1.661E-27*300000000*300000000</f>
        <v>1.5068592000000002E-10</v>
      </c>
      <c r="H22" s="180" t="s">
        <v>2287</v>
      </c>
      <c r="I22" s="41">
        <f>1000000*I18*1.602E-19</f>
        <v>1.602E-10</v>
      </c>
      <c r="J22" s="180" t="s">
        <v>27</v>
      </c>
      <c r="P22" s="568" t="s">
        <v>2322</v>
      </c>
      <c r="Q22" s="248">
        <f>MIN((Q18/Q21)^3*0.5+(Q18/Q21)*0.5,1)</f>
        <v>9.4629584090908381E-2</v>
      </c>
    </row>
    <row r="23" spans="2:18">
      <c r="H23" s="170" t="s">
        <v>683</v>
      </c>
      <c r="I23" s="1">
        <f>I22/G22+1</f>
        <v>2.063138480357023</v>
      </c>
      <c r="P23" s="568" t="s">
        <v>2323</v>
      </c>
      <c r="Q23" s="248">
        <f>1-Q22</f>
        <v>0.90537041590909162</v>
      </c>
    </row>
    <row r="24" spans="2:18">
      <c r="B24" t="s">
        <v>2292</v>
      </c>
      <c r="D24" s="172">
        <f>0.56*LOOKUP(C18,Table7[Ref],Table7[Ionization Potential/eV])/LOOKUP(C18,Table7[Ref],Table7[Molar mass g/mol])/(300000000*I24*I23)</f>
        <v>1.3956191311107159E-8</v>
      </c>
      <c r="E24" t="s">
        <v>2293</v>
      </c>
      <c r="H24" t="s">
        <v>2291</v>
      </c>
      <c r="I24" s="1">
        <f>SQRT(1-(1/I23)^2)</f>
        <v>0.87468132690694278</v>
      </c>
      <c r="J24" t="s">
        <v>410</v>
      </c>
      <c r="L24" s="171"/>
    </row>
    <row r="25" spans="2:18">
      <c r="H25" s="171" t="s">
        <v>2298</v>
      </c>
      <c r="I25" s="185">
        <v>1.5</v>
      </c>
    </row>
    <row r="26" spans="2:18">
      <c r="B26" t="s">
        <v>2296</v>
      </c>
      <c r="C26" t="s">
        <v>2297</v>
      </c>
      <c r="D26" s="172">
        <f>(D22/I27)*I25*0.000001/I23+D24</f>
        <v>1.155439520508182E-5</v>
      </c>
      <c r="E26" t="s">
        <v>2293</v>
      </c>
    </row>
    <row r="27" spans="2:18">
      <c r="D27" s="1"/>
      <c r="G27" t="s">
        <v>2294</v>
      </c>
      <c r="H27" t="s">
        <v>2295</v>
      </c>
      <c r="I27" s="185">
        <v>0.05</v>
      </c>
      <c r="J27" t="s">
        <v>2</v>
      </c>
    </row>
  </sheetData>
  <mergeCells count="2">
    <mergeCell ref="G17:H17"/>
    <mergeCell ref="B17:E17"/>
  </mergeCells>
  <pageMargins left="0.7" right="0.7" top="0.75" bottom="0.75" header="0.3" footer="0.3"/>
  <pageSetup orientation="portrait" verticalDpi="0"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A601D-E9AE-486D-9D23-ED27B2E0D628}">
  <sheetPr codeName="Sheet20">
    <tabColor theme="4"/>
  </sheetPr>
  <dimension ref="A1:Q32"/>
  <sheetViews>
    <sheetView workbookViewId="0"/>
  </sheetViews>
  <sheetFormatPr defaultRowHeight="14.25"/>
  <cols>
    <col min="3" max="3" width="9.06640625" customWidth="1"/>
    <col min="4" max="4" width="9.265625" bestFit="1" customWidth="1"/>
    <col min="7" max="7" width="10.19921875" customWidth="1"/>
    <col min="8" max="8" width="11.1328125" style="379" customWidth="1"/>
    <col min="9" max="9" width="9.6640625" style="167" bestFit="1" customWidth="1"/>
    <col min="10" max="10" width="9.06640625" style="167"/>
    <col min="11" max="11" width="8.796875" style="167" customWidth="1"/>
    <col min="12" max="12" width="9.06640625" style="167"/>
    <col min="13" max="13" width="9.06640625" style="167" customWidth="1"/>
  </cols>
  <sheetData>
    <row r="1" spans="1:17">
      <c r="A1" t="s">
        <v>1919</v>
      </c>
    </row>
    <row r="2" spans="1:17">
      <c r="B2" t="s">
        <v>1918</v>
      </c>
      <c r="G2" s="171" t="s">
        <v>1931</v>
      </c>
      <c r="O2" s="171" t="s">
        <v>1944</v>
      </c>
      <c r="P2" s="167"/>
    </row>
    <row r="3" spans="1:17">
      <c r="C3" t="s">
        <v>1921</v>
      </c>
      <c r="D3" s="184">
        <v>21</v>
      </c>
      <c r="E3" t="s">
        <v>1924</v>
      </c>
      <c r="H3" s="379" t="s">
        <v>1935</v>
      </c>
      <c r="I3" s="167" t="s">
        <v>1936</v>
      </c>
      <c r="J3" s="167" t="s">
        <v>1937</v>
      </c>
      <c r="K3" s="167" t="s">
        <v>343</v>
      </c>
      <c r="L3" s="167" t="s">
        <v>1950</v>
      </c>
      <c r="M3" s="167" t="s">
        <v>1696</v>
      </c>
      <c r="O3" t="s">
        <v>827</v>
      </c>
      <c r="P3" s="167">
        <f>D10*0.84</f>
        <v>52.919999999999995</v>
      </c>
    </row>
    <row r="4" spans="1:17">
      <c r="B4" s="384"/>
      <c r="C4" s="384" t="s">
        <v>1922</v>
      </c>
      <c r="D4" s="184">
        <v>540</v>
      </c>
      <c r="E4" s="384" t="s">
        <v>1923</v>
      </c>
      <c r="G4" s="171" t="s">
        <v>1927</v>
      </c>
      <c r="H4" s="379" t="s">
        <v>1938</v>
      </c>
      <c r="I4" s="167">
        <f>50.25*D3</f>
        <v>1055.25</v>
      </c>
      <c r="K4" s="167">
        <f>0.215*D3</f>
        <v>4.5149999999999997</v>
      </c>
      <c r="L4" s="167">
        <f>0.215*D3</f>
        <v>4.5149999999999997</v>
      </c>
      <c r="M4" s="167">
        <f>0.0975*D3</f>
        <v>2.0474999999999999</v>
      </c>
      <c r="O4" t="s">
        <v>1946</v>
      </c>
      <c r="P4" s="167">
        <f>0.34*D10</f>
        <v>21.42</v>
      </c>
    </row>
    <row r="5" spans="1:17">
      <c r="B5" s="384"/>
      <c r="C5" s="384"/>
      <c r="D5" s="1">
        <f>D4/365.25</f>
        <v>1.4784394250513346</v>
      </c>
      <c r="E5" s="384" t="s">
        <v>1702</v>
      </c>
      <c r="G5" s="171" t="s">
        <v>1928</v>
      </c>
      <c r="H5" s="379" t="s">
        <v>1939</v>
      </c>
      <c r="I5" s="167">
        <f>4.5*D3</f>
        <v>94.5</v>
      </c>
      <c r="K5" s="167">
        <f>0.0125*D3</f>
        <v>0.26250000000000001</v>
      </c>
      <c r="L5" s="167">
        <f>0.0675*D3</f>
        <v>1.4175</v>
      </c>
      <c r="M5" s="167">
        <f>0.1875*D3</f>
        <v>3.9375</v>
      </c>
      <c r="O5" t="s">
        <v>63</v>
      </c>
      <c r="P5" s="167">
        <f>5.31*D10</f>
        <v>334.53</v>
      </c>
    </row>
    <row r="6" spans="1:17">
      <c r="B6" s="384"/>
      <c r="C6" s="171" t="s">
        <v>1944</v>
      </c>
      <c r="D6" s="184">
        <v>3</v>
      </c>
      <c r="E6" s="384" t="s">
        <v>1923</v>
      </c>
      <c r="G6" s="171" t="s">
        <v>1929</v>
      </c>
      <c r="H6" s="379" t="s">
        <v>1940</v>
      </c>
      <c r="I6" s="167">
        <f>16.14*D3</f>
        <v>338.94</v>
      </c>
      <c r="K6" s="167">
        <f>D3*0.21</f>
        <v>4.41</v>
      </c>
      <c r="L6" s="167">
        <f>D3*0.21</f>
        <v>4.41</v>
      </c>
      <c r="M6" s="167">
        <f>0.02*D3</f>
        <v>0.42</v>
      </c>
      <c r="O6" t="s">
        <v>1947</v>
      </c>
      <c r="P6" s="167">
        <f>1.06*D10</f>
        <v>66.78</v>
      </c>
    </row>
    <row r="7" spans="1:17">
      <c r="B7" s="384"/>
      <c r="C7" s="384"/>
      <c r="D7" s="384"/>
      <c r="E7" s="384"/>
      <c r="G7" s="171" t="s">
        <v>1930</v>
      </c>
      <c r="H7" s="379" t="s">
        <v>1941</v>
      </c>
      <c r="I7" s="167">
        <f>272*D3</f>
        <v>5712</v>
      </c>
      <c r="O7" t="s">
        <v>1948</v>
      </c>
      <c r="P7" s="167">
        <f>1.75*D10</f>
        <v>110.25</v>
      </c>
    </row>
    <row r="8" spans="1:17">
      <c r="B8" s="384"/>
      <c r="C8" s="384"/>
      <c r="D8" s="384"/>
      <c r="E8" s="384"/>
      <c r="G8" s="171" t="s">
        <v>1932</v>
      </c>
      <c r="H8" s="379" t="s">
        <v>1942</v>
      </c>
      <c r="I8" s="167">
        <f>16*D3</f>
        <v>336</v>
      </c>
      <c r="J8" s="167">
        <f>0.06*D9</f>
        <v>680.4</v>
      </c>
      <c r="K8" s="167">
        <f>0.01125*D3</f>
        <v>0.23624999999999999</v>
      </c>
      <c r="L8" s="167">
        <f>0.01125*D3</f>
        <v>0.23624999999999999</v>
      </c>
      <c r="M8" s="167">
        <f>0.04625*D3</f>
        <v>0.97124999999999995</v>
      </c>
      <c r="O8" s="48" t="s">
        <v>1926</v>
      </c>
      <c r="P8" s="167">
        <f>SUM(P3:P7)</f>
        <v>585.9</v>
      </c>
    </row>
    <row r="9" spans="1:17">
      <c r="B9" s="384"/>
      <c r="C9" s="384" t="s">
        <v>1925</v>
      </c>
      <c r="D9" s="384">
        <f>D3*D4</f>
        <v>11340</v>
      </c>
      <c r="E9" s="384" t="s">
        <v>1949</v>
      </c>
      <c r="G9" s="171" t="s">
        <v>1933</v>
      </c>
      <c r="H9" s="379" t="s">
        <v>1943</v>
      </c>
      <c r="I9" s="167">
        <f>47.6*D3</f>
        <v>999.6</v>
      </c>
      <c r="J9" s="167">
        <f>0.13*D9</f>
        <v>1474.2</v>
      </c>
      <c r="K9" s="167">
        <f>0.03*D3</f>
        <v>0.63</v>
      </c>
      <c r="L9" s="167">
        <f>0.03*D3</f>
        <v>0.63</v>
      </c>
      <c r="M9" s="167">
        <f>0.225*D3</f>
        <v>4.7250000000000005</v>
      </c>
    </row>
    <row r="10" spans="1:17">
      <c r="B10" s="384"/>
      <c r="C10" s="384" t="s">
        <v>1945</v>
      </c>
      <c r="D10" s="384">
        <f>D6*D3</f>
        <v>63</v>
      </c>
      <c r="E10" s="384" t="s">
        <v>1949</v>
      </c>
      <c r="G10" s="171" t="s">
        <v>1934</v>
      </c>
      <c r="H10" s="379" t="s">
        <v>1941</v>
      </c>
      <c r="I10" s="167">
        <f>26.5*D3</f>
        <v>556.5</v>
      </c>
      <c r="M10" s="167">
        <f>0.13*D3</f>
        <v>2.73</v>
      </c>
      <c r="O10" s="167" t="s">
        <v>2030</v>
      </c>
    </row>
    <row r="11" spans="1:17" s="379" customFormat="1">
      <c r="B11" s="384"/>
      <c r="C11" s="384"/>
      <c r="D11" s="384"/>
      <c r="E11" s="384"/>
      <c r="F11"/>
      <c r="G11" s="671" t="s">
        <v>1926</v>
      </c>
      <c r="H11" s="671"/>
      <c r="I11" s="167">
        <f>SUM(I4:I10)</f>
        <v>9092.7900000000009</v>
      </c>
      <c r="J11" s="167">
        <f>SUM(J4:J10)</f>
        <v>2154.6</v>
      </c>
      <c r="K11" s="167">
        <f>SUM(K4:K10)</f>
        <v>10.053750000000001</v>
      </c>
      <c r="L11" s="167">
        <f>SUM(L4:L10)</f>
        <v>11.20875</v>
      </c>
      <c r="M11" s="167">
        <f>SUM(M4:M10)</f>
        <v>14.831250000000001</v>
      </c>
      <c r="O11" s="171" t="s">
        <v>1952</v>
      </c>
      <c r="P11" s="184">
        <v>1.8</v>
      </c>
      <c r="Q11" s="384" t="s">
        <v>1953</v>
      </c>
    </row>
    <row r="12" spans="1:17">
      <c r="B12" s="384" t="s">
        <v>2019</v>
      </c>
      <c r="C12" s="384"/>
      <c r="D12" s="384"/>
      <c r="E12" s="384"/>
    </row>
    <row r="13" spans="1:17">
      <c r="B13" s="384"/>
      <c r="C13" s="384" t="s">
        <v>2017</v>
      </c>
      <c r="D13" s="388">
        <v>100000</v>
      </c>
      <c r="E13" s="384" t="s">
        <v>575</v>
      </c>
      <c r="G13" s="171" t="s">
        <v>2061</v>
      </c>
      <c r="H13" s="184">
        <v>1</v>
      </c>
      <c r="I13" s="167" t="s">
        <v>2062</v>
      </c>
      <c r="J13" s="86">
        <v>0.55000000000000004</v>
      </c>
      <c r="K13" s="167" t="s">
        <v>1790</v>
      </c>
      <c r="M13" s="167" t="s">
        <v>1713</v>
      </c>
      <c r="N13" s="167">
        <f>(H13*(1-J13)+L11)/0.36</f>
        <v>32.385416666666664</v>
      </c>
      <c r="O13" t="s">
        <v>667</v>
      </c>
      <c r="P13" s="167">
        <f>N13*3.1</f>
        <v>100.39479166666666</v>
      </c>
      <c r="Q13" t="s">
        <v>1</v>
      </c>
    </row>
    <row r="14" spans="1:17">
      <c r="B14" s="384"/>
      <c r="C14" s="184">
        <v>204</v>
      </c>
      <c r="D14" s="672" t="str">
        <f>LOOKUP(C14,Material!A:A,Material!B:B)</f>
        <v>Alpha-2 Titanium Aluminide</v>
      </c>
      <c r="E14" s="596"/>
      <c r="H14" s="379" t="str">
        <f>"("&amp;ROUND(H13/D3,1)&amp;"kW/CM)"</f>
        <v>(0kW/CM)</v>
      </c>
    </row>
    <row r="15" spans="1:17">
      <c r="B15" s="384"/>
      <c r="C15" s="384"/>
      <c r="D15" s="384"/>
      <c r="E15" s="384"/>
    </row>
    <row r="16" spans="1:17">
      <c r="B16" s="384"/>
      <c r="C16" s="384" t="s">
        <v>2020</v>
      </c>
      <c r="D16" s="184">
        <v>5</v>
      </c>
      <c r="E16" s="384"/>
      <c r="G16" t="s">
        <v>2025</v>
      </c>
    </row>
    <row r="17" spans="2:17">
      <c r="B17" s="384"/>
      <c r="C17" s="384" t="s">
        <v>2015</v>
      </c>
      <c r="D17" s="184">
        <v>120</v>
      </c>
      <c r="E17" s="384" t="s">
        <v>348</v>
      </c>
      <c r="G17" t="s">
        <v>2027</v>
      </c>
    </row>
    <row r="18" spans="2:17">
      <c r="B18" s="384"/>
      <c r="C18" s="384" t="s">
        <v>2016</v>
      </c>
      <c r="D18" s="184">
        <v>100</v>
      </c>
      <c r="E18" s="384" t="s">
        <v>348</v>
      </c>
      <c r="H18" s="379" t="s">
        <v>1696</v>
      </c>
      <c r="I18" s="167">
        <f>D22*D3</f>
        <v>63</v>
      </c>
      <c r="J18" s="167" t="s">
        <v>850</v>
      </c>
      <c r="L18" s="167" t="s">
        <v>1959</v>
      </c>
      <c r="M18" s="167">
        <f>D24*I20</f>
        <v>38283.752078822297</v>
      </c>
      <c r="N18" t="s">
        <v>1</v>
      </c>
      <c r="O18" s="92" t="s">
        <v>2024</v>
      </c>
      <c r="P18" s="167">
        <f>0.5^((D23)/1354+1)*P11*D4</f>
        <v>288.31238820237803</v>
      </c>
      <c r="Q18" t="s">
        <v>1954</v>
      </c>
    </row>
    <row r="19" spans="2:17">
      <c r="H19" s="379" t="s">
        <v>1697</v>
      </c>
      <c r="I19" s="175">
        <f>(I18*0.75/PI())^(1/3)</f>
        <v>2.4684100922353225</v>
      </c>
      <c r="J19" s="167" t="s">
        <v>2</v>
      </c>
      <c r="L19" s="167" t="s">
        <v>2031</v>
      </c>
      <c r="M19" s="167">
        <f>I18*D17</f>
        <v>7560</v>
      </c>
      <c r="N19" t="s">
        <v>1</v>
      </c>
    </row>
    <row r="20" spans="2:17">
      <c r="B20" s="384"/>
      <c r="C20" s="384"/>
      <c r="D20" s="384"/>
      <c r="E20" s="384"/>
      <c r="H20" s="379" t="s">
        <v>1843</v>
      </c>
      <c r="I20" s="167">
        <f>4*PI()*I19^2</f>
        <v>76.567504157644592</v>
      </c>
      <c r="J20" s="167" t="s">
        <v>667</v>
      </c>
      <c r="L20" s="167" t="s">
        <v>2018</v>
      </c>
      <c r="M20" s="167">
        <f>3/2*D13*I18*LOOKUP(C14,Materials[[#All],[Refe-rence]],Materials[[#All],[Density (kg/m3)]])/(LOOKUP(C14,Materials[[#All],[Refe-rence]],Materials[[#All],[Yield Strength (Mpa)]])/'C.M.'!D16*1000000)</f>
        <v>200.45454545454547</v>
      </c>
      <c r="N20" t="s">
        <v>1</v>
      </c>
    </row>
    <row r="21" spans="2:17">
      <c r="B21" s="384" t="s">
        <v>1920</v>
      </c>
      <c r="C21" s="384"/>
      <c r="D21" s="384"/>
      <c r="E21" s="384"/>
    </row>
    <row r="22" spans="2:17">
      <c r="B22" s="384"/>
      <c r="C22" s="171" t="s">
        <v>1951</v>
      </c>
      <c r="D22" s="184">
        <v>3</v>
      </c>
      <c r="E22" s="384" t="s">
        <v>850</v>
      </c>
      <c r="G22" t="s">
        <v>2029</v>
      </c>
    </row>
    <row r="23" spans="2:17">
      <c r="B23" s="384"/>
      <c r="C23" s="171" t="s">
        <v>1957</v>
      </c>
      <c r="D23" s="384">
        <f>D24+D28</f>
        <v>1020</v>
      </c>
      <c r="E23" s="384" t="s">
        <v>1209</v>
      </c>
      <c r="H23" t="s">
        <v>1696</v>
      </c>
      <c r="I23">
        <f>D27*D3</f>
        <v>420</v>
      </c>
      <c r="J23" t="s">
        <v>850</v>
      </c>
      <c r="L23" s="167" t="s">
        <v>1959</v>
      </c>
      <c r="M23" s="167">
        <f>I25*D29</f>
        <v>59726.960146656005</v>
      </c>
      <c r="N23" t="s">
        <v>1</v>
      </c>
      <c r="O23" s="92" t="s">
        <v>2033</v>
      </c>
      <c r="P23" s="167">
        <f>0.5^((D28)/1354)*P11*D4</f>
        <v>744.82889725737095</v>
      </c>
      <c r="Q23" s="384" t="s">
        <v>1954</v>
      </c>
    </row>
    <row r="24" spans="2:17">
      <c r="B24" s="384"/>
      <c r="C24" s="171" t="s">
        <v>1958</v>
      </c>
      <c r="D24" s="184">
        <v>500</v>
      </c>
      <c r="E24" s="384" t="s">
        <v>1209</v>
      </c>
      <c r="H24" s="379" t="s">
        <v>2028</v>
      </c>
      <c r="I24" s="167">
        <f>(H27-4/3*PI()*D32^3)/(PI()*D32^2)</f>
        <v>1.1324358078184134</v>
      </c>
      <c r="J24" s="167" t="s">
        <v>2</v>
      </c>
      <c r="L24" s="167" t="s">
        <v>2032</v>
      </c>
      <c r="M24" s="167">
        <f>I23*D18</f>
        <v>42000</v>
      </c>
      <c r="N24" t="s">
        <v>1</v>
      </c>
    </row>
    <row r="25" spans="2:17">
      <c r="B25" s="384"/>
      <c r="H25" s="385" t="s">
        <v>1843</v>
      </c>
      <c r="I25" s="393">
        <f>4*PI()*D32^2+2*PI()*D32*I24</f>
        <v>298.63480073328003</v>
      </c>
      <c r="J25" s="167" t="s">
        <v>667</v>
      </c>
      <c r="L25" s="167" t="s">
        <v>2018</v>
      </c>
      <c r="M25" s="167">
        <f>2*PI()*D32^2*(D32+I24)*D13*LOOKUP(C14,Materials[Refe-rence],Materials[Density (kg/m3)])/LOOKUP(C14,Materials[Refe-rence],Materials[Yield Strength (Mpa)])/1000000*'C.M.'!D16</f>
        <v>1616.6605176346036</v>
      </c>
      <c r="N25" s="384" t="s">
        <v>1</v>
      </c>
    </row>
    <row r="26" spans="2:17">
      <c r="B26" s="384" t="s">
        <v>2021</v>
      </c>
      <c r="C26" s="384"/>
      <c r="D26" s="384"/>
      <c r="E26" s="384"/>
    </row>
    <row r="27" spans="2:17">
      <c r="C27" s="171" t="s">
        <v>2022</v>
      </c>
      <c r="D27" s="184">
        <v>20</v>
      </c>
      <c r="E27" s="384" t="s">
        <v>2023</v>
      </c>
      <c r="G27" t="s">
        <v>2026</v>
      </c>
      <c r="H27" s="167">
        <f>I23+I18</f>
        <v>483</v>
      </c>
      <c r="I27" s="167" t="s">
        <v>850</v>
      </c>
      <c r="L27" s="167" t="s">
        <v>2063</v>
      </c>
      <c r="M27" s="167">
        <f>SUM(M23:M25,M18:M20,P13,I11,J11,P8)</f>
        <v>161321.51208023416</v>
      </c>
      <c r="N27" t="s">
        <v>1</v>
      </c>
      <c r="O27" t="s">
        <v>2064</v>
      </c>
      <c r="P27" s="248">
        <f>(M18+M23)/M27</f>
        <v>0.60754893108571983</v>
      </c>
    </row>
    <row r="28" spans="2:17">
      <c r="C28" s="171" t="s">
        <v>1957</v>
      </c>
      <c r="D28" s="490">
        <f>SUM(D29:D30)</f>
        <v>520</v>
      </c>
      <c r="E28" s="384" t="s">
        <v>1209</v>
      </c>
      <c r="L28" s="167" t="s">
        <v>2080</v>
      </c>
      <c r="M28" s="167">
        <f>K11+H13</f>
        <v>11.053750000000001</v>
      </c>
      <c r="N28" t="s">
        <v>2036</v>
      </c>
      <c r="O28" t="s">
        <v>2065</v>
      </c>
      <c r="P28" s="248">
        <f>(I11+P8)/M27</f>
        <v>5.9996276226237266E-2</v>
      </c>
    </row>
    <row r="29" spans="2:17">
      <c r="C29" s="266" t="s">
        <v>1958</v>
      </c>
      <c r="D29" s="491">
        <v>200</v>
      </c>
      <c r="E29" s="490" t="s">
        <v>1209</v>
      </c>
      <c r="L29" s="167" t="s">
        <v>2081</v>
      </c>
      <c r="M29" s="167">
        <f>H13*(1-J13)+L11</f>
        <v>11.65875</v>
      </c>
      <c r="N29" t="s">
        <v>2036</v>
      </c>
      <c r="O29" t="s">
        <v>2066</v>
      </c>
      <c r="P29" s="248">
        <f>(M20+M25)/M27</f>
        <v>1.1263935228832945E-2</v>
      </c>
    </row>
    <row r="30" spans="2:17">
      <c r="C30" s="171" t="s">
        <v>2152</v>
      </c>
      <c r="D30" s="491">
        <v>320</v>
      </c>
      <c r="E30" s="490" t="s">
        <v>1209</v>
      </c>
      <c r="O30" t="s">
        <v>2067</v>
      </c>
      <c r="P30" s="248">
        <f>(M24+M19)/M27</f>
        <v>0.30721259279637209</v>
      </c>
    </row>
    <row r="31" spans="2:17">
      <c r="J31" t="str">
        <f>"Exterior Dimensions: Bullet shaped R"&amp;D32&amp;"m X "&amp;ROUND(I24+D32*2,0)&amp;"m"</f>
        <v>Exterior Dimensions: Bullet shaped R4.6m X 10m</v>
      </c>
    </row>
    <row r="32" spans="2:17">
      <c r="C32" t="s">
        <v>1697</v>
      </c>
      <c r="D32" s="184">
        <v>4.5999999999999996</v>
      </c>
      <c r="E32" t="s">
        <v>2</v>
      </c>
    </row>
  </sheetData>
  <mergeCells count="2">
    <mergeCell ref="D14:E14"/>
    <mergeCell ref="G11:H11"/>
  </mergeCells>
  <dataValidations count="6">
    <dataValidation type="whole" operator="greaterThan" allowBlank="1" showInputMessage="1" showErrorMessage="1" sqref="D3:D4 D6 C14" xr:uid="{386EDDD9-2E01-4DCC-A4DD-252D463A6BF6}">
      <formula1>0</formula1>
    </dataValidation>
    <dataValidation type="decimal" operator="greaterThan" allowBlank="1" showInputMessage="1" showErrorMessage="1" sqref="D17:D18 D13 D23:D24 P11 D28:D29 H13" xr:uid="{225E7B5C-939A-463B-9742-37F88EBA53E3}">
      <formula1>0</formula1>
    </dataValidation>
    <dataValidation type="decimal" operator="greaterThan" allowBlank="1" showInputMessage="1" showErrorMessage="1" sqref="D16" xr:uid="{CD99F20B-BE28-41E3-89AB-7D3E4C5717D1}">
      <formula1>1</formula1>
    </dataValidation>
    <dataValidation type="decimal" operator="greaterThan" allowBlank="1" showInputMessage="1" showErrorMessage="1" sqref="D27" xr:uid="{0D240274-CE31-40AA-BDAA-FFC1FCD6BC6A}">
      <formula1>D22</formula1>
    </dataValidation>
    <dataValidation type="decimal" operator="greaterThan" allowBlank="1" showInputMessage="1" showErrorMessage="1" sqref="D32" xr:uid="{888C4230-8116-4D7D-AD63-22DC1D1021C4}">
      <formula1>I19</formula1>
    </dataValidation>
    <dataValidation type="decimal" allowBlank="1" showInputMessage="1" showErrorMessage="1" sqref="J13" xr:uid="{80B769FC-B895-43B3-BC8F-24D06A428513}">
      <formula1>0</formula1>
      <formula2>1</formula2>
    </dataValidation>
  </dataValidations>
  <pageMargins left="0.7" right="0.7" top="0.75" bottom="0.75" header="0.3" footer="0.3"/>
  <pageSetup orientation="portrait" verticalDpi="0"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7139A-E805-495B-A7AF-4AAF2AACD1DF}">
  <sheetPr codeName="Sheet21">
    <tabColor theme="4"/>
  </sheetPr>
  <dimension ref="A2:CB67"/>
  <sheetViews>
    <sheetView workbookViewId="0"/>
  </sheetViews>
  <sheetFormatPr defaultRowHeight="14.25"/>
  <cols>
    <col min="1" max="1" width="9.796875" style="485" customWidth="1"/>
    <col min="2" max="2" width="3.1328125" style="477" customWidth="1"/>
    <col min="3" max="3" width="3.59765625" customWidth="1"/>
    <col min="4" max="4" width="6.1328125" customWidth="1"/>
    <col min="5" max="5" width="4.86328125" customWidth="1"/>
    <col min="6" max="6" width="6.06640625" style="402" customWidth="1"/>
    <col min="7" max="7" width="4.9296875" style="402" customWidth="1"/>
    <col min="8" max="8" width="7.1328125" customWidth="1"/>
    <col min="9" max="9" width="5.53125" customWidth="1"/>
    <col min="10" max="10" width="4.796875" style="401" customWidth="1"/>
    <col min="11" max="11" width="5.46484375" style="398" customWidth="1"/>
    <col min="12" max="12" width="5.3984375" style="398" customWidth="1"/>
    <col min="13" max="13" width="4.265625" customWidth="1"/>
    <col min="14" max="14" width="6.9296875" style="399" customWidth="1"/>
    <col min="15" max="15" width="5.9296875" customWidth="1"/>
    <col min="16" max="16" width="4.53125" customWidth="1"/>
    <col min="17" max="17" width="4.86328125" customWidth="1"/>
    <col min="18" max="18" width="6.19921875" style="401" customWidth="1"/>
    <col min="19" max="19" width="5.796875" customWidth="1"/>
    <col min="20" max="20" width="6.265625" style="398" customWidth="1"/>
    <col min="21" max="21" width="8" style="398" customWidth="1"/>
    <col min="22" max="22" width="3.86328125" customWidth="1"/>
    <col min="23" max="23" width="4.19921875" style="398" customWidth="1"/>
    <col min="24" max="24" width="3.86328125" customWidth="1"/>
    <col min="25" max="25" width="6.6640625" customWidth="1"/>
    <col min="26" max="26" width="8.265625" customWidth="1"/>
    <col min="28" max="28" width="3.19921875" customWidth="1"/>
    <col min="29" max="29" width="5.53125" customWidth="1"/>
    <col min="30" max="30" width="7.1328125" style="167" customWidth="1"/>
    <col min="31" max="31" width="4.86328125" customWidth="1"/>
    <col min="32" max="32" width="9.06640625" style="490"/>
    <col min="33" max="33" width="9.796875" style="485" customWidth="1"/>
    <col min="37" max="37" width="9.06640625" customWidth="1"/>
    <col min="38" max="38" width="6.9296875" customWidth="1"/>
    <col min="39" max="39" width="6.46484375" customWidth="1"/>
    <col min="40" max="40" width="4.3984375" customWidth="1"/>
    <col min="41" max="41" width="6.265625" customWidth="1"/>
    <col min="42" max="42" width="5.19921875" customWidth="1"/>
    <col min="43" max="43" width="6.73046875" customWidth="1"/>
    <col min="44" max="44" width="9.19921875" bestFit="1" customWidth="1"/>
    <col min="45" max="45" width="3.33203125" customWidth="1"/>
    <col min="46" max="46" width="3.3984375" customWidth="1"/>
    <col min="47" max="47" width="4.46484375" customWidth="1"/>
    <col min="48" max="48" width="6.46484375" customWidth="1"/>
    <col min="49" max="50" width="6.9296875" customWidth="1"/>
    <col min="51" max="51" width="3.3984375" customWidth="1"/>
    <col min="52" max="52" width="5.6640625" customWidth="1"/>
    <col min="54" max="57" width="9.06640625" style="477"/>
    <col min="58" max="58" width="9.796875" style="485" customWidth="1"/>
    <col min="60" max="60" width="8.6640625" customWidth="1"/>
    <col min="62" max="62" width="6.59765625" customWidth="1"/>
    <col min="63" max="63" width="5.19921875" customWidth="1"/>
    <col min="64" max="64" width="7.3984375" customWidth="1"/>
    <col min="65" max="65" width="5.19921875" customWidth="1"/>
    <col min="66" max="66" width="11.59765625" bestFit="1" customWidth="1"/>
    <col min="67" max="67" width="6.06640625" customWidth="1"/>
    <col min="68" max="68" width="4.796875" customWidth="1"/>
    <col min="69" max="69" width="5.73046875" customWidth="1"/>
    <col min="70" max="70" width="8.59765625" customWidth="1"/>
    <col min="71" max="71" width="6" customWidth="1"/>
    <col min="72" max="72" width="3.53125" customWidth="1"/>
    <col min="73" max="73" width="3.3984375" customWidth="1"/>
    <col min="74" max="74" width="5.265625" customWidth="1"/>
    <col min="75" max="75" width="4.73046875" customWidth="1"/>
    <col min="76" max="77" width="5.796875" customWidth="1"/>
    <col min="78" max="78" width="3.9296875" customWidth="1"/>
    <col min="79" max="79" width="6.9296875" customWidth="1"/>
  </cols>
  <sheetData>
    <row r="2" spans="1:80">
      <c r="O2" s="171" t="s">
        <v>2079</v>
      </c>
      <c r="P2" s="184">
        <v>12</v>
      </c>
      <c r="Q2" s="398" t="s">
        <v>2036</v>
      </c>
      <c r="R2" s="401" t="s">
        <v>2085</v>
      </c>
      <c r="S2" s="184"/>
      <c r="T2" s="398" t="s">
        <v>394</v>
      </c>
      <c r="U2" s="171" t="s">
        <v>2079</v>
      </c>
      <c r="V2" s="184">
        <v>40</v>
      </c>
      <c r="W2" s="398" t="s">
        <v>1716</v>
      </c>
      <c r="X2" t="s">
        <v>2085</v>
      </c>
      <c r="Y2" s="184"/>
      <c r="Z2" t="s">
        <v>394</v>
      </c>
      <c r="AC2" t="s">
        <v>2147</v>
      </c>
      <c r="AD2" s="167">
        <f>0.00094*SQRT(AD7)</f>
        <v>0.13239764498013443</v>
      </c>
      <c r="AE2" t="s">
        <v>2</v>
      </c>
    </row>
    <row r="3" spans="1:80" s="398" customFormat="1">
      <c r="A3" s="485"/>
      <c r="B3" s="477"/>
      <c r="F3" s="402"/>
      <c r="G3" s="402"/>
      <c r="J3" s="401"/>
      <c r="L3" s="1"/>
      <c r="N3" s="399"/>
      <c r="R3" s="401"/>
      <c r="AC3" s="427" t="s">
        <v>2145</v>
      </c>
      <c r="AD3" s="428">
        <f>SQRT(AD7)*0.133</f>
        <v>18.732858279104128</v>
      </c>
      <c r="AE3" s="429" t="s">
        <v>2</v>
      </c>
      <c r="AF3" s="297"/>
      <c r="AG3" s="485"/>
      <c r="BB3" s="477"/>
      <c r="BC3" s="477"/>
      <c r="BD3" s="477"/>
      <c r="BE3" s="477"/>
      <c r="BF3" s="485"/>
    </row>
    <row r="4" spans="1:80" ht="14.65" thickBot="1">
      <c r="E4" t="s">
        <v>2153</v>
      </c>
      <c r="F4" s="184">
        <v>10</v>
      </c>
      <c r="G4" s="402" t="s">
        <v>2</v>
      </c>
      <c r="I4" t="s">
        <v>2181</v>
      </c>
      <c r="J4" s="285">
        <v>0.01</v>
      </c>
      <c r="K4" s="398" t="s">
        <v>1521</v>
      </c>
      <c r="AC4" s="297" t="s">
        <v>2146</v>
      </c>
      <c r="AD4" s="299"/>
      <c r="AE4" s="430"/>
      <c r="AF4" s="297"/>
    </row>
    <row r="5" spans="1:80" ht="15" thickTop="1" thickBot="1">
      <c r="E5" t="s">
        <v>2148</v>
      </c>
      <c r="F5" s="184">
        <v>204</v>
      </c>
      <c r="G5" s="402" t="str">
        <f>LOOKUP(F5,Materials[[Refe-rence]:[Refe-rence]],Materials[[Material]:[Material]])</f>
        <v>Alpha-2 Titanium Aluminide</v>
      </c>
      <c r="I5" s="401"/>
      <c r="R5" s="414"/>
      <c r="S5" s="415"/>
      <c r="T5" s="415"/>
      <c r="U5" s="416"/>
      <c r="X5" s="460"/>
      <c r="Y5" s="461" t="s">
        <v>4</v>
      </c>
      <c r="Z5" s="467">
        <f>LOOKUP(X7,Propulsion_System[Ref.Code],Propulsion_System[Engine Mass (kg)])*X8/1000</f>
        <v>7.003571428571429</v>
      </c>
      <c r="AA5" s="462" t="s">
        <v>2110</v>
      </c>
      <c r="AB5" s="427"/>
    </row>
    <row r="6" spans="1:80" ht="15" thickTop="1" thickBot="1">
      <c r="A6" s="718" t="s">
        <v>2138</v>
      </c>
      <c r="E6" t="s">
        <v>2020</v>
      </c>
      <c r="F6" s="184">
        <v>1.5</v>
      </c>
      <c r="H6" s="74" t="s">
        <v>1521</v>
      </c>
      <c r="I6" s="104">
        <f>SUM(Z8,Z14)*9805/(2*PI()*F4*LOOKUP(F5,Materials[[Refe-rence]:[Refe-rence]],Materials[[Yield Strength (Mpa)]:[Yield Strength (Mpa)]])*1000000/F6)</f>
        <v>1.4186492881963943E-4</v>
      </c>
      <c r="J6" s="74" t="s">
        <v>2</v>
      </c>
      <c r="R6" s="417"/>
      <c r="S6" s="297" t="str">
        <f>LOOKUP(X7,Propulsion_System[Ref.Code],Propulsion_System[Propellant])</f>
        <v>LH2</v>
      </c>
      <c r="T6" s="418">
        <v>1000</v>
      </c>
      <c r="U6" s="419" t="s">
        <v>1521</v>
      </c>
      <c r="X6" s="458"/>
      <c r="Y6" s="297" t="s">
        <v>2077</v>
      </c>
      <c r="Z6" s="459">
        <f>LOOKUP(X7,Propulsion_System[Ref.Code],Propulsion_System[Efficiency])*'S.I.'!AD7-LOOKUP(X7,Propulsion_System[Ref.Code],Propulsion_System[Bimodal Generation (MWe)])*AD7</f>
        <v>0</v>
      </c>
      <c r="AA6" s="435" t="s">
        <v>1716</v>
      </c>
      <c r="AB6" s="297"/>
      <c r="AC6" t="s">
        <v>2166</v>
      </c>
      <c r="AD6" s="1">
        <f>Z8/AD8</f>
        <v>0.60606060606060608</v>
      </c>
      <c r="AE6" t="s">
        <v>2167</v>
      </c>
      <c r="AG6" s="718" t="s">
        <v>2139</v>
      </c>
      <c r="BF6" s="718" t="s">
        <v>2137</v>
      </c>
    </row>
    <row r="7" spans="1:80" ht="14.65" thickTop="1">
      <c r="A7" s="718"/>
      <c r="L7" s="414" t="s">
        <v>4</v>
      </c>
      <c r="M7" s="426">
        <v>1</v>
      </c>
      <c r="N7" s="416" t="s">
        <v>1521</v>
      </c>
      <c r="R7" s="417"/>
      <c r="S7" s="297"/>
      <c r="T7" s="297">
        <f>LOOKUP(X7,Propulsion_System[Ref.Code],Propulsion_System[Tankage Mass Ratio])*T6</f>
        <v>128</v>
      </c>
      <c r="U7" s="419" t="s">
        <v>1521</v>
      </c>
      <c r="X7" s="434">
        <v>85</v>
      </c>
      <c r="Y7" s="297" t="s">
        <v>2068</v>
      </c>
      <c r="Z7" s="659" t="str">
        <f>LOOKUP(X7,Propulsion_System[[Ref.Code]:[Ref.Code]],Propulsion_System[[Propulsion]:[Propulsion]])</f>
        <v>Dumbo (H2)</v>
      </c>
      <c r="AA7" s="716"/>
      <c r="AB7" s="297"/>
      <c r="AC7" s="297" t="s">
        <v>343</v>
      </c>
      <c r="AD7" s="299">
        <f>X8*LOOKUP(X7,Propulsion_System[Ref.Code],Propulsion_System[Thrust Power (MW)])</f>
        <v>19838.31642857143</v>
      </c>
      <c r="AE7" s="430" t="s">
        <v>1716</v>
      </c>
      <c r="AF7" s="297"/>
      <c r="AG7" s="718"/>
      <c r="BF7" s="718"/>
      <c r="BH7" s="401"/>
      <c r="BI7" s="398"/>
      <c r="BJ7" s="398"/>
      <c r="BL7" s="399"/>
      <c r="BP7" s="401"/>
      <c r="BR7" s="398"/>
      <c r="BS7" s="398"/>
      <c r="BU7" s="398"/>
      <c r="CB7" s="167"/>
    </row>
    <row r="8" spans="1:80" ht="14.65" thickBot="1">
      <c r="A8" s="718"/>
      <c r="D8" s="497"/>
      <c r="E8" s="497"/>
      <c r="F8" s="497"/>
      <c r="G8" s="497"/>
      <c r="H8" s="497"/>
      <c r="I8" s="497"/>
      <c r="J8" s="497"/>
      <c r="L8" s="420" t="s">
        <v>2077</v>
      </c>
      <c r="M8" s="442">
        <v>23</v>
      </c>
      <c r="N8" s="422" t="s">
        <v>2083</v>
      </c>
      <c r="R8" s="420"/>
      <c r="S8" s="421" t="s">
        <v>2143</v>
      </c>
      <c r="T8" s="488">
        <f>SUM(T6:T7)*1000/LOOKUP(X7,Propulsion_System[[Ref.Code]:[Ref.Code]],Propulsion_System[[Propellant Density (kgm^-3)]:[Propellant Density (kgm^-3)]])</f>
        <v>15920.959774170784</v>
      </c>
      <c r="U8" s="422" t="s">
        <v>850</v>
      </c>
      <c r="X8" s="436">
        <f>Z8*9805/LOOKUP(X7,Propulsion!A:A,Propulsion!J:J)</f>
        <v>1.4007142857142858</v>
      </c>
      <c r="Y8" s="437" t="s">
        <v>2075</v>
      </c>
      <c r="Z8" s="438">
        <v>500</v>
      </c>
      <c r="AA8" s="439" t="s">
        <v>2076</v>
      </c>
      <c r="AB8" s="431"/>
      <c r="AC8" s="431" t="s">
        <v>2084</v>
      </c>
      <c r="AD8" s="432">
        <f>LOOKUP(X7,Propulsion_System[Ref.Code],Propulsion_System[Specific Impulse (s)])</f>
        <v>825</v>
      </c>
      <c r="AE8" s="433" t="s">
        <v>988</v>
      </c>
      <c r="AF8" s="297"/>
      <c r="AG8" s="718"/>
      <c r="AK8" s="399"/>
      <c r="AO8" s="401"/>
      <c r="AQ8" s="398"/>
      <c r="AR8" s="398"/>
      <c r="AT8" s="398"/>
      <c r="BA8" s="167"/>
      <c r="BB8" s="167"/>
      <c r="BC8" s="167"/>
      <c r="BD8" s="167"/>
      <c r="BE8" s="167"/>
      <c r="BF8" s="718"/>
      <c r="BH8" s="401"/>
      <c r="BI8" s="398"/>
      <c r="BJ8" s="398"/>
      <c r="BL8" s="399"/>
      <c r="BM8" s="477"/>
      <c r="BN8" s="171" t="s">
        <v>2079</v>
      </c>
      <c r="BO8" s="184">
        <v>12</v>
      </c>
      <c r="BP8" s="477" t="s">
        <v>2036</v>
      </c>
      <c r="BQ8" s="477" t="s">
        <v>2085</v>
      </c>
      <c r="BR8" s="184"/>
      <c r="BS8" s="477" t="s">
        <v>394</v>
      </c>
      <c r="BU8" s="398"/>
      <c r="CB8" s="167"/>
    </row>
    <row r="9" spans="1:80" s="398" customFormat="1" ht="15" thickTop="1" thickBot="1">
      <c r="A9" s="718"/>
      <c r="B9" s="477"/>
      <c r="F9" s="402"/>
      <c r="G9" s="402"/>
      <c r="H9" s="447" t="s">
        <v>2071</v>
      </c>
      <c r="I9" s="448"/>
      <c r="J9" s="449"/>
      <c r="N9" s="399"/>
      <c r="R9" s="401"/>
      <c r="Z9" s="399"/>
      <c r="AD9" s="167"/>
      <c r="AF9" s="490"/>
      <c r="AG9" s="718"/>
      <c r="AJ9"/>
      <c r="AK9" s="410" t="s">
        <v>2123</v>
      </c>
      <c r="AL9" s="719" t="s">
        <v>2118</v>
      </c>
      <c r="AM9" s="721"/>
      <c r="AN9" s="721"/>
      <c r="AO9" s="721"/>
      <c r="AP9" s="722"/>
      <c r="AQ9" s="414" t="s">
        <v>2119</v>
      </c>
      <c r="AR9" s="475">
        <f>LOOKUP(AU9,Propulsion_System[[Ref.Code]:[Ref.Code]],Propulsion_System[[Tankage Mass Ratio]:[Tankage Mass Ratio]])*AR10</f>
        <v>7.4250000000000007</v>
      </c>
      <c r="AS9" s="416" t="s">
        <v>1</v>
      </c>
      <c r="AT9" s="425">
        <f>AW10*9.8/LOOKUP(AU9,Propulsion_System[[Ref.Code]:[Ref.Code]],Propulsion_System[[Thrust (N)]:[Thrust (N)]])</f>
        <v>2.2458333333333335E-5</v>
      </c>
      <c r="AU9" s="426">
        <v>93</v>
      </c>
      <c r="AV9" s="728" t="str">
        <f>LOOKUP(AU9,Propulsion_System[[Ref.Code]:[Ref.Code]],Propulsion_System[[Propulsion]:[Propulsion]])</f>
        <v>APCP Space Shuttle SRB</v>
      </c>
      <c r="AW9" s="729"/>
      <c r="AX9" s="730"/>
      <c r="AY9"/>
      <c r="AZ9">
        <f>LOOKUP(AU9,Propulsion_System[[Ref.Code]:[Ref.Code]],Propulsion_System[[Specific Impulse (s)]:[Specific Impulse (s)]])</f>
        <v>265</v>
      </c>
      <c r="BA9" s="167" t="s">
        <v>988</v>
      </c>
      <c r="BB9" s="167"/>
      <c r="BC9" s="167"/>
      <c r="BD9" s="167"/>
      <c r="BE9" s="167"/>
      <c r="BF9" s="718"/>
      <c r="BH9" s="401"/>
      <c r="BJ9"/>
      <c r="BK9" s="401"/>
      <c r="BN9"/>
      <c r="BO9" s="399"/>
      <c r="BP9"/>
      <c r="BQ9"/>
      <c r="BR9"/>
      <c r="BS9" s="401"/>
      <c r="BT9"/>
      <c r="BV9"/>
      <c r="BW9"/>
      <c r="BX9"/>
      <c r="BY9"/>
      <c r="BZ9"/>
      <c r="CA9"/>
      <c r="CB9" s="167"/>
    </row>
    <row r="10" spans="1:80" ht="15" thickTop="1" thickBot="1">
      <c r="A10" s="718"/>
      <c r="D10" s="447" t="s">
        <v>2070</v>
      </c>
      <c r="E10" s="448"/>
      <c r="F10" s="449"/>
      <c r="G10" s="456"/>
      <c r="H10" s="450" t="s">
        <v>2111</v>
      </c>
      <c r="I10" s="451">
        <f>SUM(L28*J26,J30*L32,J34*L36,J38*L40)/1000</f>
        <v>0.15</v>
      </c>
      <c r="J10" s="452" t="s">
        <v>1716</v>
      </c>
      <c r="N10" s="741" t="s">
        <v>2112</v>
      </c>
      <c r="O10" s="446" t="s">
        <v>4</v>
      </c>
      <c r="P10" s="444">
        <v>161</v>
      </c>
      <c r="Q10" s="445" t="s">
        <v>1521</v>
      </c>
      <c r="U10" s="414" t="s">
        <v>2074</v>
      </c>
      <c r="V10" s="426"/>
      <c r="W10" s="416" t="s">
        <v>850</v>
      </c>
      <c r="AG10" s="718"/>
      <c r="AK10" s="413">
        <v>0.17499999999999999</v>
      </c>
      <c r="AL10" s="720"/>
      <c r="AM10" s="471">
        <v>53</v>
      </c>
      <c r="AN10" s="472" t="s">
        <v>1</v>
      </c>
      <c r="AO10" s="474">
        <v>3.4000000000000002E-2</v>
      </c>
      <c r="AP10" s="473" t="s">
        <v>850</v>
      </c>
      <c r="AQ10" s="470" t="str">
        <f>LOOKUP(AU9,Propulsion_System[[Ref.Code]:[Ref.Code]],Propulsion_System[[Propellant]:[Propellant]])</f>
        <v>AL/AP</v>
      </c>
      <c r="AR10" s="424">
        <v>55</v>
      </c>
      <c r="AS10" s="422" t="s">
        <v>1</v>
      </c>
      <c r="AT10" s="731">
        <f>LOOKUP(AU9,Propulsion_System[[Ref.Code]:[Ref.Code]],Propulsion_System[[Engine Mass (kg)]:[Engine Mass (kg)]])*'S.I.'!AT9</f>
        <v>0</v>
      </c>
      <c r="AU10" s="732"/>
      <c r="AV10" s="421" t="s">
        <v>1</v>
      </c>
      <c r="AW10" s="469">
        <v>55</v>
      </c>
      <c r="AX10" s="422" t="s">
        <v>2117</v>
      </c>
      <c r="AZ10" s="1">
        <f>LOOKUP(AU9,Propulsion_System[[Ref.Code]:[Ref.Code]],Propulsion_System[[Thrust Power (MW)]:[Thrust Power (MW)]])*'S.I.'!AT9</f>
        <v>0.7007000000000001</v>
      </c>
      <c r="BA10" s="167" t="s">
        <v>1716</v>
      </c>
      <c r="BB10" s="167"/>
      <c r="BC10" s="167"/>
      <c r="BD10" s="167"/>
      <c r="BE10" s="167"/>
      <c r="BF10" s="718"/>
      <c r="BH10" s="401"/>
      <c r="BI10" s="398"/>
      <c r="BK10" s="184">
        <v>1</v>
      </c>
      <c r="BL10" s="477" t="s">
        <v>2107</v>
      </c>
      <c r="BM10" s="737" t="s">
        <v>2136</v>
      </c>
      <c r="BN10" s="738"/>
      <c r="BO10" s="738"/>
      <c r="BP10" s="739"/>
      <c r="BR10" s="735" t="s">
        <v>2131</v>
      </c>
      <c r="BS10" s="480">
        <f>SUM(BM11*BK10,BO11*BO12)</f>
        <v>137.5</v>
      </c>
      <c r="BT10" s="481" t="s">
        <v>1</v>
      </c>
      <c r="BU10" s="398"/>
      <c r="CB10" s="167"/>
    </row>
    <row r="11" spans="1:80" ht="15" thickTop="1" thickBot="1">
      <c r="A11" s="718"/>
      <c r="D11" s="450" t="s">
        <v>2063</v>
      </c>
      <c r="E11" s="451">
        <f>SUM(F27*D26+F31*D30+D34*F35+D38*F39)/1000</f>
        <v>0.5</v>
      </c>
      <c r="F11" s="452" t="s">
        <v>2110</v>
      </c>
      <c r="G11" s="456"/>
      <c r="H11" s="117" t="s">
        <v>4</v>
      </c>
      <c r="I11" s="495">
        <f>SUM(J26*L27,J30*L31,J34*L35,J38*L39)/1000</f>
        <v>0.15</v>
      </c>
      <c r="J11" s="501" t="s">
        <v>1521</v>
      </c>
      <c r="L11" s="398" t="s">
        <v>2082</v>
      </c>
      <c r="N11" s="742"/>
      <c r="O11" s="297" t="s">
        <v>5</v>
      </c>
      <c r="P11" s="443">
        <v>4.5999999999999996</v>
      </c>
      <c r="Q11" s="419" t="s">
        <v>2</v>
      </c>
      <c r="S11" t="s">
        <v>2072</v>
      </c>
      <c r="U11" s="440" t="s">
        <v>4</v>
      </c>
      <c r="V11" s="418">
        <v>25</v>
      </c>
      <c r="W11" s="419" t="s">
        <v>1521</v>
      </c>
      <c r="Y11" t="s">
        <v>2073</v>
      </c>
      <c r="AA11" t="s">
        <v>2158</v>
      </c>
      <c r="AB11" s="499" t="str">
        <f>IF(S16=S6,"YES","NO")</f>
        <v>YES</v>
      </c>
      <c r="AD11" s="188">
        <v>5</v>
      </c>
      <c r="AE11" t="s">
        <v>2176</v>
      </c>
      <c r="AG11" s="718"/>
      <c r="AK11" s="399"/>
      <c r="AM11" s="411"/>
      <c r="AO11" s="401"/>
      <c r="AQ11" s="398"/>
      <c r="AR11" s="398"/>
      <c r="AT11" s="398"/>
      <c r="BA11" s="167"/>
      <c r="BB11" s="167"/>
      <c r="BC11" s="167"/>
      <c r="BD11" s="167"/>
      <c r="BE11" s="167"/>
      <c r="BF11" s="718"/>
      <c r="BH11" s="401"/>
      <c r="BI11" s="398"/>
      <c r="BK11" s="477"/>
      <c r="BL11" s="477" t="s">
        <v>4</v>
      </c>
      <c r="BM11" s="412">
        <v>50</v>
      </c>
      <c r="BN11" s="477" t="s">
        <v>1</v>
      </c>
      <c r="BO11" s="184">
        <v>0.17499999999999999</v>
      </c>
      <c r="BP11" s="477" t="s">
        <v>2116</v>
      </c>
      <c r="BR11" s="736"/>
      <c r="BS11" s="482">
        <f>BM12*BK10</f>
        <v>5</v>
      </c>
      <c r="BT11" s="422" t="s">
        <v>2036</v>
      </c>
      <c r="BU11" s="398"/>
      <c r="CB11" s="167"/>
    </row>
    <row r="12" spans="1:80" ht="15" thickTop="1" thickBot="1">
      <c r="A12" s="718"/>
      <c r="D12" s="453" t="s">
        <v>2141</v>
      </c>
      <c r="E12" s="454">
        <f>SUM(D26*F28,D30*F32,D34*F36,D38*F40)</f>
        <v>5</v>
      </c>
      <c r="F12" s="455" t="s">
        <v>850</v>
      </c>
      <c r="G12" s="456"/>
      <c r="H12" s="266" t="s">
        <v>2159</v>
      </c>
      <c r="I12" s="1">
        <f>SUM(N27*N28,N31*N32,N35*N36,N39*N40)/1000</f>
        <v>2.5000000000000001E-2</v>
      </c>
      <c r="J12" s="419" t="s">
        <v>1521</v>
      </c>
      <c r="N12" s="743"/>
      <c r="O12" s="421" t="s">
        <v>9</v>
      </c>
      <c r="P12" s="424">
        <v>10</v>
      </c>
      <c r="Q12" s="422" t="s">
        <v>2</v>
      </c>
      <c r="U12" s="441" t="s">
        <v>2078</v>
      </c>
      <c r="V12" s="424">
        <v>34</v>
      </c>
      <c r="W12" s="422" t="s">
        <v>1716</v>
      </c>
      <c r="AG12" s="718"/>
      <c r="AK12" s="399"/>
      <c r="AM12" s="171" t="s">
        <v>2121</v>
      </c>
      <c r="AN12" s="1">
        <f>AO10/(PI()*AK10^2)</f>
        <v>0.35338893486526973</v>
      </c>
      <c r="AO12" s="411" t="s">
        <v>2</v>
      </c>
      <c r="AP12" s="411"/>
      <c r="AQ12" s="171" t="s">
        <v>2122</v>
      </c>
      <c r="AR12" s="1">
        <f>(AR10+AR9)/LOOKUP(AU9,Propulsion_System[[Ref.Code]:[Ref.Code]],Propulsion_System[[Propellant Density (kgm^-3)]:[Propellant Density (kgm^-3)]])/(PI()*AK10^2)</f>
        <v>0.37698708860893443</v>
      </c>
      <c r="AS12" t="s">
        <v>2</v>
      </c>
      <c r="AT12" s="398"/>
      <c r="BA12" s="167"/>
      <c r="BB12" s="167"/>
      <c r="BC12" s="167"/>
      <c r="BD12" s="167"/>
      <c r="BE12" s="167"/>
      <c r="BF12" s="718"/>
      <c r="BH12" s="401"/>
      <c r="BI12" s="398"/>
      <c r="BK12" s="477"/>
      <c r="BL12" s="477" t="s">
        <v>2106</v>
      </c>
      <c r="BM12" s="412">
        <v>5</v>
      </c>
      <c r="BN12" s="477" t="s">
        <v>2083</v>
      </c>
      <c r="BO12" s="184">
        <v>500</v>
      </c>
      <c r="BP12" s="477" t="s">
        <v>2115</v>
      </c>
      <c r="BS12" s="401"/>
      <c r="BU12" s="398"/>
      <c r="BW12" t="s">
        <v>2077</v>
      </c>
      <c r="BX12" s="1">
        <f>BU14*LOOKUP(BV14,Propulsion_System[[Ref.Code]:[Ref.Code]],Propulsion_System[[Bimodal Generation (MWe)]:[Bimodal Generation (MWe)]])-'S.I.'!CA15*LOOKUP('S.I.'!BV14,Propulsion_System[[Ref.Code]:[Ref.Code]],Propulsion_System[[Efficiency]:[Efficiency]])</f>
        <v>0</v>
      </c>
      <c r="BY12" t="s">
        <v>1716</v>
      </c>
      <c r="CB12" s="167"/>
    </row>
    <row r="13" spans="1:80" s="398" customFormat="1" ht="15" thickTop="1" thickBot="1">
      <c r="A13" s="718"/>
      <c r="B13" s="477"/>
      <c r="H13" s="502" t="s">
        <v>2135</v>
      </c>
      <c r="I13" s="454">
        <f>SUM(I11:I12)</f>
        <v>0.17499999999999999</v>
      </c>
      <c r="J13" s="455" t="s">
        <v>1521</v>
      </c>
      <c r="N13" s="399"/>
      <c r="R13" s="401"/>
      <c r="U13" s="266"/>
      <c r="AF13" s="490"/>
      <c r="AG13" s="718"/>
      <c r="AJ13"/>
      <c r="AK13" s="399"/>
      <c r="AL13"/>
      <c r="AM13"/>
      <c r="AN13"/>
      <c r="AO13" s="401"/>
      <c r="AP13"/>
      <c r="AS13"/>
      <c r="AU13"/>
      <c r="AV13"/>
      <c r="AW13"/>
      <c r="AX13"/>
      <c r="AY13"/>
      <c r="AZ13"/>
      <c r="BA13" s="167"/>
      <c r="BB13" s="167"/>
      <c r="BC13" s="167"/>
      <c r="BD13" s="167"/>
      <c r="BE13" s="167"/>
      <c r="BF13" s="718"/>
      <c r="BH13" s="402"/>
      <c r="BI13"/>
      <c r="BJ13"/>
      <c r="BK13" s="401"/>
      <c r="BN13" s="477"/>
      <c r="BO13" s="477"/>
      <c r="BP13" s="477"/>
      <c r="BQ13" s="477"/>
      <c r="BR13" s="477"/>
      <c r="BS13" s="477"/>
      <c r="BT13" s="477"/>
      <c r="BU13" s="477"/>
      <c r="BV13" s="477"/>
      <c r="BW13" s="477"/>
      <c r="BX13" s="477"/>
      <c r="BY13" s="477"/>
      <c r="BZ13" s="477"/>
      <c r="CA13" s="477"/>
      <c r="CB13" s="167"/>
    </row>
    <row r="14" spans="1:80" ht="14.65" thickTop="1">
      <c r="A14" s="718"/>
      <c r="D14" s="497"/>
      <c r="E14" s="497"/>
      <c r="F14" s="497"/>
      <c r="G14" s="497"/>
      <c r="H14" s="497"/>
      <c r="I14" s="497"/>
      <c r="J14" s="497"/>
      <c r="R14" s="414"/>
      <c r="S14" s="415" t="s">
        <v>2143</v>
      </c>
      <c r="T14" s="487">
        <f>SUM(T15:T16)*1000/LOOKUP(X15,Propulsion_System[[Ref.Code]:[Ref.Code]],Propulsion_System[[Propellant Density (kgm^-3)]:[Propellant Density (kgm^-3)]])</f>
        <v>3980.239943542696</v>
      </c>
      <c r="U14" s="416" t="s">
        <v>850</v>
      </c>
      <c r="X14" s="425">
        <f>Z14*9805/LOOKUP(X15,Propulsion!A:A,Propulsion!J:J)</f>
        <v>0.28014285714285714</v>
      </c>
      <c r="Y14" s="415" t="s">
        <v>2075</v>
      </c>
      <c r="Z14" s="426">
        <v>100</v>
      </c>
      <c r="AA14" s="416" t="s">
        <v>2076</v>
      </c>
      <c r="AC14" s="400" t="s">
        <v>2084</v>
      </c>
      <c r="AD14" s="167">
        <f>LOOKUP(X15,Propulsion_System[Ref.Code],Propulsion_System[Specific Impulse (s)])</f>
        <v>3568</v>
      </c>
      <c r="AE14" s="400" t="s">
        <v>988</v>
      </c>
      <c r="AG14" s="718"/>
      <c r="AK14" s="399"/>
      <c r="AL14" t="s">
        <v>2120</v>
      </c>
      <c r="AM14" s="184">
        <v>204</v>
      </c>
      <c r="AN14" s="468" t="str">
        <f>LOOKUP(AM14,Material!A2:A1048576,Material!B2:B1048576)</f>
        <v>Alpha-2 Titanium Aluminide</v>
      </c>
      <c r="AO14" s="302"/>
      <c r="AP14" s="302"/>
      <c r="AQ14" s="398"/>
      <c r="AR14" s="398"/>
      <c r="AS14" t="s">
        <v>2020</v>
      </c>
      <c r="AT14" s="184">
        <v>1.5</v>
      </c>
      <c r="AU14" s="74" t="s">
        <v>1521</v>
      </c>
      <c r="AV14" s="74">
        <f>AW10*9.8/(2*PI()*AK10*LOOKUP(AM14,Materials[[Refe-rence]:[Refe-rence]],Materials[[Yield Strength (Mpa)]:[Yield Strength (Mpa)]])*1000000/AT14)</f>
        <v>7.4272306776217828E-7</v>
      </c>
      <c r="AW14" s="74" t="s">
        <v>2</v>
      </c>
      <c r="BA14" s="167"/>
      <c r="BB14" s="167"/>
      <c r="BC14" s="167"/>
      <c r="BD14" s="167"/>
      <c r="BE14" s="167"/>
      <c r="BF14" s="718"/>
      <c r="BH14" s="476" t="s">
        <v>2123</v>
      </c>
      <c r="BI14" s="719" t="s">
        <v>2118</v>
      </c>
      <c r="BJ14" s="721" t="s">
        <v>2133</v>
      </c>
      <c r="BK14" s="721"/>
      <c r="BL14" s="721"/>
      <c r="BM14" s="722"/>
      <c r="BN14" s="483">
        <v>0.01</v>
      </c>
      <c r="BO14" s="415" t="s">
        <v>850</v>
      </c>
      <c r="BP14" s="426">
        <v>5</v>
      </c>
      <c r="BQ14" s="416" t="s">
        <v>2036</v>
      </c>
      <c r="BR14" s="414" t="s">
        <v>2119</v>
      </c>
      <c r="BS14" s="475">
        <f>LOOKUP(BV14,Propulsion_System[[Ref.Code]:[Ref.Code]],Propulsion_System[[Tankage Mass Ratio]:[Tankage Mass Ratio]])*BS15</f>
        <v>0</v>
      </c>
      <c r="BT14" s="416" t="s">
        <v>1</v>
      </c>
      <c r="BU14" s="425">
        <f>BX15*9.8/LOOKUP(BV14,Propulsion_System[[Ref.Code]:[Ref.Code]],Propulsion_System[[Thrust (N)]:[Thrust (N)]])</f>
        <v>1.2250000000000001E-5</v>
      </c>
      <c r="BV14" s="426">
        <v>109</v>
      </c>
      <c r="BW14" s="728" t="str">
        <f>LOOKUP(BV14,Propulsion_System[[Ref.Code]:[Ref.Code]],Propulsion_System[[Propulsion]:[Propulsion]])</f>
        <v>ORION battleship</v>
      </c>
      <c r="BX14" s="729"/>
      <c r="BY14" s="730"/>
      <c r="BZ14" s="477"/>
      <c r="CA14" s="477">
        <f>LOOKUP(BV14,Propulsion_System[[Ref.Code]:[Ref.Code]],Propulsion_System[[Specific Impulse (s)]:[Specific Impulse (s)]])</f>
        <v>3976</v>
      </c>
      <c r="CB14" s="167" t="s">
        <v>988</v>
      </c>
    </row>
    <row r="15" spans="1:80" ht="14.65" thickBot="1">
      <c r="A15" s="718"/>
      <c r="F15" s="171" t="s">
        <v>2157</v>
      </c>
      <c r="G15" s="184">
        <v>500</v>
      </c>
      <c r="H15" s="117" t="s">
        <v>1209</v>
      </c>
      <c r="L15" s="492"/>
      <c r="M15" s="492"/>
      <c r="N15" s="493" t="s">
        <v>2151</v>
      </c>
      <c r="O15" s="492">
        <f>(F4-P11)*O18</f>
        <v>382.59</v>
      </c>
      <c r="P15" s="492" t="s">
        <v>1209</v>
      </c>
      <c r="R15" s="417"/>
      <c r="S15" s="297"/>
      <c r="T15" s="297">
        <f>LOOKUP(X15,Propulsion_System[Ref.Code],Propulsion_System[Tankage Mass Ratio])*T16</f>
        <v>32</v>
      </c>
      <c r="U15" s="419" t="s">
        <v>1521</v>
      </c>
      <c r="X15" s="423">
        <v>100</v>
      </c>
      <c r="Y15" s="297" t="s">
        <v>2069</v>
      </c>
      <c r="Z15" s="659" t="str">
        <f>LOOKUP(X15,Propulsion_System[[Ref.Code]:[Ref.Code]],Propulsion_System[[Propulsion]:[Propulsion]])</f>
        <v>NTR Gas/Open (H2)</v>
      </c>
      <c r="AA15" s="717"/>
      <c r="AC15" s="398" t="s">
        <v>343</v>
      </c>
      <c r="AD15" s="167">
        <f>X14*LOOKUP(X15,Propulsion_System[Ref.Code],Propulsion_System[Thrust Power (MW)])</f>
        <v>17158.75</v>
      </c>
      <c r="AE15" s="398" t="s">
        <v>1716</v>
      </c>
      <c r="AG15" s="718"/>
      <c r="AK15" s="399"/>
      <c r="BA15" s="167"/>
      <c r="BB15" s="167"/>
      <c r="BC15" s="167"/>
      <c r="BD15" s="167"/>
      <c r="BE15" s="167"/>
      <c r="BF15" s="718"/>
      <c r="BH15" s="478">
        <v>0.17499999999999999</v>
      </c>
      <c r="BI15" s="720"/>
      <c r="BJ15" s="471">
        <v>10</v>
      </c>
      <c r="BK15" s="472" t="s">
        <v>1</v>
      </c>
      <c r="BL15" s="474">
        <v>0.02</v>
      </c>
      <c r="BM15" s="473" t="s">
        <v>850</v>
      </c>
      <c r="BN15" s="733" t="s">
        <v>2130</v>
      </c>
      <c r="BO15" s="734"/>
      <c r="BP15" s="424">
        <v>2.5</v>
      </c>
      <c r="BQ15" s="422" t="s">
        <v>1</v>
      </c>
      <c r="BR15" s="470" t="str">
        <f>LOOKUP(BV14,Propulsion_System[[Ref.Code]:[Ref.Code]],Propulsion_System[[Propellant]:[Propellant]])</f>
        <v>Tungsten</v>
      </c>
      <c r="BS15" s="424">
        <v>55</v>
      </c>
      <c r="BT15" s="422" t="s">
        <v>1</v>
      </c>
      <c r="BU15" s="731">
        <f>LOOKUP(BV14,Propulsion_System[[Ref.Code]:[Ref.Code]],Propulsion_System[[Engine Mass (kg)]:[Engine Mass (kg)]])*'S.I.'!BU14</f>
        <v>20.825000000000003</v>
      </c>
      <c r="BV15" s="732"/>
      <c r="BW15" s="421" t="s">
        <v>1</v>
      </c>
      <c r="BX15" s="469">
        <v>100</v>
      </c>
      <c r="BY15" s="422" t="s">
        <v>2117</v>
      </c>
      <c r="BZ15" s="477"/>
      <c r="CA15" s="1">
        <f>LOOKUP(BV14,Propulsion_System[[Ref.Code]:[Ref.Code]],Propulsion_System[[Thrust Power (MW)]:[Thrust Power (MW)]])*'S.I.'!BU14</f>
        <v>19.110000000000003</v>
      </c>
      <c r="CB15" s="167" t="s">
        <v>1716</v>
      </c>
    </row>
    <row r="16" spans="1:80" ht="14.65" thickTop="1">
      <c r="A16" s="718"/>
      <c r="G16" s="74">
        <f>2*PI()*F4*G20*G15/1000</f>
        <v>0.5</v>
      </c>
      <c r="H16" s="498" t="s">
        <v>1521</v>
      </c>
      <c r="R16" s="417"/>
      <c r="S16" s="297" t="str">
        <f>LOOKUP(X15,Propulsion_System[Ref.Code],Propulsion_System[Propellant])</f>
        <v>LH2</v>
      </c>
      <c r="T16" s="418">
        <v>250</v>
      </c>
      <c r="U16" s="419" t="s">
        <v>1521</v>
      </c>
      <c r="X16" s="417"/>
      <c r="Y16" s="297" t="s">
        <v>2077</v>
      </c>
      <c r="Z16" s="459">
        <f>LOOKUP(X15,Propulsion_System[Ref.Code],Propulsion_System[Efficiency])*'S.I.'!AD15-LOOKUP(X15,Propulsion_System[Ref.Code],Propulsion_System[Bimodal Generation (MWe)])*AD15</f>
        <v>0</v>
      </c>
      <c r="AA16" s="419" t="s">
        <v>1716</v>
      </c>
      <c r="AC16" t="s">
        <v>2166</v>
      </c>
      <c r="AD16" s="1">
        <f>Z14/AD14</f>
        <v>2.8026905829596414E-2</v>
      </c>
      <c r="AE16" t="s">
        <v>2167</v>
      </c>
      <c r="AG16" s="718"/>
      <c r="AK16" s="399"/>
      <c r="AO16" s="401"/>
      <c r="AQ16" s="723" t="s">
        <v>2124</v>
      </c>
      <c r="AR16" s="726">
        <f>2*PI()*AK10*(AN12+AR12)*LOOKUP(AM14,Materials[[Refe-rence]:[Refe-rence]],Materials[[Density (kg/m3)]:[Density (kg/m3)]])*AV14</f>
        <v>2.5051897605165201E-3</v>
      </c>
      <c r="AS16" s="726"/>
      <c r="AT16" s="723" t="s">
        <v>1</v>
      </c>
      <c r="AV16" s="613" t="s">
        <v>2127</v>
      </c>
      <c r="AW16" s="626">
        <f>LN(AR20/AR18)*9.8*AZ9</f>
        <v>1680.7739512982091</v>
      </c>
      <c r="AX16" s="626"/>
      <c r="AY16" s="614" t="s">
        <v>16</v>
      </c>
      <c r="AZ16" s="614"/>
      <c r="BA16" s="167"/>
      <c r="BB16" s="167"/>
      <c r="BC16" s="167"/>
      <c r="BD16" s="167"/>
      <c r="BE16" s="167"/>
      <c r="BF16" s="718"/>
      <c r="BH16" s="402"/>
      <c r="BK16" s="401"/>
      <c r="BL16" s="398"/>
      <c r="BM16" s="398"/>
      <c r="BN16" s="477"/>
      <c r="BO16" s="477"/>
      <c r="BP16" s="477"/>
      <c r="BQ16" s="477"/>
      <c r="BR16" s="477"/>
      <c r="BS16" s="477"/>
      <c r="BT16" s="477"/>
      <c r="BU16" s="477"/>
      <c r="BV16" s="477"/>
      <c r="BW16" s="477"/>
      <c r="BX16" s="477"/>
      <c r="BY16" s="477"/>
      <c r="BZ16" s="477"/>
      <c r="CA16" s="477"/>
      <c r="CB16" s="167"/>
    </row>
    <row r="17" spans="1:80" ht="14.65" customHeight="1" thickBot="1">
      <c r="A17" s="486"/>
      <c r="N17" s="74" t="s">
        <v>2149</v>
      </c>
      <c r="O17" s="79">
        <f>SUM(T14,T8,PI()*P11^2*P12,V10)</f>
        <v>20565.96072321308</v>
      </c>
      <c r="P17" s="74" t="s">
        <v>850</v>
      </c>
      <c r="R17" s="420"/>
      <c r="S17" s="421"/>
      <c r="T17" s="421"/>
      <c r="U17" s="422"/>
      <c r="X17" s="463"/>
      <c r="Y17" s="464" t="s">
        <v>4</v>
      </c>
      <c r="Z17" s="466">
        <f>LOOKUP(X15,Propulsion_System[Ref.Code],Propulsion_System[Engine Mass (kg)])*X14/1000</f>
        <v>56.028571428571425</v>
      </c>
      <c r="AA17" s="465" t="s">
        <v>2110</v>
      </c>
      <c r="AG17" s="486"/>
      <c r="AK17" s="399"/>
      <c r="AL17" s="614" t="s">
        <v>2129</v>
      </c>
      <c r="AM17" s="613" t="str">
        <f>"L "&amp;ROUND(SUM(AN12,AR12),1) &amp;"m"</f>
        <v>L 0.7m</v>
      </c>
      <c r="AN17" s="613"/>
      <c r="AO17" s="613"/>
      <c r="AQ17" s="724"/>
      <c r="AR17" s="727"/>
      <c r="AS17" s="727"/>
      <c r="AT17" s="724"/>
      <c r="AV17" s="613"/>
      <c r="AW17" s="626"/>
      <c r="AX17" s="626"/>
      <c r="AY17" s="614"/>
      <c r="AZ17" s="614"/>
      <c r="BA17" s="167"/>
      <c r="BB17" s="167"/>
      <c r="BC17" s="167"/>
      <c r="BD17" s="167"/>
      <c r="BE17" s="167"/>
      <c r="BF17" s="486"/>
      <c r="BH17" s="402"/>
      <c r="BJ17" s="477"/>
      <c r="BK17" s="171" t="s">
        <v>2121</v>
      </c>
      <c r="BL17" s="1">
        <f>BL15/(PI()*BH15^2)</f>
        <v>0.20787584403839396</v>
      </c>
      <c r="BM17" s="477" t="s">
        <v>2</v>
      </c>
      <c r="BO17" s="171" t="s">
        <v>2132</v>
      </c>
      <c r="BP17" s="1">
        <f>BN14/(PI()*BH15^2)</f>
        <v>0.10393792201919698</v>
      </c>
      <c r="BQ17" s="477" t="s">
        <v>2</v>
      </c>
      <c r="BR17" s="171" t="s">
        <v>2122</v>
      </c>
      <c r="BS17" s="1">
        <f>(BS15+BS14)/LOOKUP(BV14,Propulsion_System[[Ref.Code]:[Ref.Code]],Propulsion_System[[Propellant Density (kgm^-3)]:[Propellant Density (kgm^-3)]])/(PI()*BH15^2)</f>
        <v>0.37753174686671731</v>
      </c>
      <c r="BT17" s="477" t="s">
        <v>2</v>
      </c>
      <c r="BU17" s="477"/>
      <c r="BV17" s="477"/>
      <c r="BW17" s="477"/>
      <c r="BX17" s="477"/>
      <c r="BY17" s="477"/>
      <c r="BZ17" s="477"/>
      <c r="CA17" s="477"/>
      <c r="CB17" s="167"/>
    </row>
    <row r="18" spans="1:80" ht="14.65" thickTop="1">
      <c r="A18" s="486"/>
      <c r="N18" s="74" t="s">
        <v>2150</v>
      </c>
      <c r="O18" s="75">
        <f>SUM(T6,T16,T7,T15)*1000/SUM(T8,T14)</f>
        <v>70.849999999999994</v>
      </c>
      <c r="P18" s="74"/>
      <c r="AC18" t="s">
        <v>2144</v>
      </c>
      <c r="AG18" s="486"/>
      <c r="AK18" s="399"/>
      <c r="AL18" s="614"/>
      <c r="AM18" s="613" t="str">
        <f>"D "&amp;ROUND(AK10*2,1) &amp;"m"</f>
        <v>D 0.4m</v>
      </c>
      <c r="AN18" s="613"/>
      <c r="AO18" s="613"/>
      <c r="AQ18" s="614" t="s">
        <v>2125</v>
      </c>
      <c r="AR18" s="725">
        <f>SUM(AM10,AR9,AT10,AR16)</f>
        <v>60.427505189760517</v>
      </c>
      <c r="AS18" s="725"/>
      <c r="AT18" s="614" t="s">
        <v>1</v>
      </c>
      <c r="AV18" s="614" t="s">
        <v>2128</v>
      </c>
      <c r="AW18" s="626">
        <f>AR10/(AW10*9.8/(9.8*AZ9))</f>
        <v>265</v>
      </c>
      <c r="AX18" s="626"/>
      <c r="AY18" s="613" t="s">
        <v>988</v>
      </c>
      <c r="AZ18" s="613"/>
      <c r="BA18" s="167"/>
      <c r="BB18" s="167"/>
      <c r="BC18" s="167"/>
      <c r="BD18" s="167"/>
      <c r="BE18" s="167"/>
      <c r="BF18" s="486"/>
      <c r="BH18" s="401"/>
      <c r="BI18" s="398"/>
      <c r="BJ18" s="398"/>
      <c r="BL18" s="477"/>
      <c r="BM18" s="477"/>
      <c r="BN18" s="477"/>
      <c r="BO18" s="477"/>
      <c r="BP18" s="477"/>
      <c r="BQ18" s="477"/>
      <c r="BR18" s="398"/>
      <c r="BS18" s="398"/>
      <c r="BU18" s="398"/>
      <c r="CB18" s="167"/>
    </row>
    <row r="19" spans="1:80">
      <c r="A19" s="486"/>
      <c r="D19" s="398"/>
      <c r="E19" s="398"/>
      <c r="H19" s="398"/>
      <c r="I19" s="398"/>
      <c r="AC19" t="s">
        <v>2145</v>
      </c>
      <c r="AD19" s="167">
        <f>0.133*SQRT(AD15)</f>
        <v>17.421857786987015</v>
      </c>
      <c r="AE19" t="s">
        <v>2</v>
      </c>
      <c r="AG19" s="486"/>
      <c r="AK19" s="399"/>
      <c r="AL19" s="614"/>
      <c r="AM19" s="613" t="str">
        <f>"FA "&amp;ROUND(AK10^2*PI(),1) &amp;"m^2"</f>
        <v>FA 0.1m^2</v>
      </c>
      <c r="AN19" s="613"/>
      <c r="AO19" s="613"/>
      <c r="AQ19" s="614"/>
      <c r="AR19" s="725"/>
      <c r="AS19" s="725"/>
      <c r="AT19" s="614"/>
      <c r="AV19" s="614"/>
      <c r="AW19" s="626"/>
      <c r="AX19" s="626"/>
      <c r="AY19" s="613"/>
      <c r="AZ19" s="613"/>
      <c r="BA19" s="167"/>
      <c r="BB19" s="167"/>
      <c r="BC19" s="167"/>
      <c r="BD19" s="167"/>
      <c r="BE19" s="167"/>
      <c r="BF19" s="486"/>
      <c r="BH19" s="401"/>
      <c r="BI19" s="398"/>
      <c r="BJ19" s="477" t="s">
        <v>2120</v>
      </c>
      <c r="BK19" s="184">
        <v>204</v>
      </c>
      <c r="BL19" s="479" t="str">
        <f>LOOKUP(BK19,Materials[[Refe-rence]:[Refe-rence]],Materials[[Material]:[Material]])</f>
        <v>Alpha-2 Titanium Aluminide</v>
      </c>
      <c r="BM19" s="302"/>
      <c r="BN19" s="302"/>
      <c r="BR19" s="477" t="s">
        <v>2020</v>
      </c>
      <c r="BS19" s="184">
        <v>1.5</v>
      </c>
      <c r="BT19" s="477"/>
      <c r="BU19" s="74" t="s">
        <v>1521</v>
      </c>
      <c r="BV19" s="74">
        <f>BX15*9.8/(2*PI()*BH15*LOOKUP(BK19,Materials[[Refe-rence]:[Refe-rence]],Materials[[Yield Strength (Mpa)]:[Yield Strength (Mpa)]])*1000000/BS19)</f>
        <v>1.3504055777494152E-6</v>
      </c>
      <c r="BW19" s="74" t="s">
        <v>2</v>
      </c>
      <c r="CB19" s="167"/>
    </row>
    <row r="20" spans="1:80">
      <c r="A20" s="486"/>
      <c r="F20" s="402" t="s">
        <v>1531</v>
      </c>
      <c r="G20" s="402">
        <f>E12/(PI()*F4^2)</f>
        <v>1.5915494309189534E-2</v>
      </c>
      <c r="H20" s="117" t="s">
        <v>2</v>
      </c>
      <c r="Q20" t="s">
        <v>1531</v>
      </c>
      <c r="R20" s="132">
        <f>O17/(PI()*F4^2)</f>
        <v>65.463486170662648</v>
      </c>
      <c r="S20" t="s">
        <v>2</v>
      </c>
      <c r="T20"/>
      <c r="Y20" t="s">
        <v>1531</v>
      </c>
      <c r="Z20" s="184">
        <v>20</v>
      </c>
      <c r="AA20" t="s">
        <v>2</v>
      </c>
      <c r="AC20" t="s">
        <v>2147</v>
      </c>
      <c r="AD20" s="167">
        <f>SQRT(AD15)*0.00094</f>
        <v>0.12313192721629919</v>
      </c>
      <c r="AE20" t="s">
        <v>2</v>
      </c>
      <c r="AG20" s="486"/>
      <c r="AK20" s="399"/>
      <c r="AL20" s="614"/>
      <c r="AM20" s="613" t="str">
        <f>"OA "&amp;ROUND(2*AK10*SUM(AN12,AR12),1) &amp;"m^2"</f>
        <v>OA 0.3m^2</v>
      </c>
      <c r="AN20" s="613"/>
      <c r="AO20" s="613"/>
      <c r="AQ20" s="614" t="s">
        <v>2126</v>
      </c>
      <c r="AR20" s="725">
        <f>SUM(AR18,AR10)</f>
        <v>115.42750518976052</v>
      </c>
      <c r="AS20" s="725"/>
      <c r="AT20" s="614" t="s">
        <v>1</v>
      </c>
      <c r="AV20" s="613" t="s">
        <v>799</v>
      </c>
      <c r="AW20" s="626">
        <f>AW10/AR20</f>
        <v>0.47648954995242332</v>
      </c>
      <c r="AX20" s="626">
        <f>AW10/AR18</f>
        <v>0.91018154443549304</v>
      </c>
      <c r="AY20" s="613" t="s">
        <v>753</v>
      </c>
      <c r="AZ20" s="613"/>
      <c r="BA20" s="167"/>
      <c r="BB20" s="167"/>
      <c r="BC20" s="167"/>
      <c r="BD20" s="167"/>
      <c r="BE20" s="167"/>
      <c r="BF20" s="486"/>
      <c r="BH20" s="401"/>
      <c r="BI20" s="398"/>
      <c r="CB20" s="167"/>
    </row>
    <row r="21" spans="1:80">
      <c r="A21" s="486"/>
      <c r="AG21" s="486"/>
      <c r="AK21" s="399"/>
      <c r="AL21" s="614"/>
      <c r="AM21" s="626" t="str">
        <f>"V "&amp;ROUND(PI()*AK10^2*SUM(AN12,AR12),2)&amp;"m^3"</f>
        <v>V 0.07m^3</v>
      </c>
      <c r="AN21" s="626"/>
      <c r="AO21" s="626"/>
      <c r="AQ21" s="614"/>
      <c r="AR21" s="725"/>
      <c r="AS21" s="725"/>
      <c r="AT21" s="614"/>
      <c r="AV21" s="613"/>
      <c r="AW21" s="626"/>
      <c r="AX21" s="626"/>
      <c r="AY21" s="613"/>
      <c r="AZ21" s="613"/>
      <c r="BA21" s="167"/>
      <c r="BB21" s="167"/>
      <c r="BC21" s="167"/>
      <c r="BD21" s="167"/>
      <c r="BE21" s="167"/>
      <c r="BF21" s="486"/>
      <c r="BH21" s="401"/>
      <c r="BI21" t="s">
        <v>2077</v>
      </c>
      <c r="BJ21" s="417" t="s">
        <v>2083</v>
      </c>
      <c r="BN21" s="401"/>
      <c r="BP21" s="723" t="s">
        <v>2124</v>
      </c>
      <c r="BQ21" s="726">
        <f>2*PI()*BH15*(BL17+BS17+BP17)*LOOKUP(BK19,Materials[[Refe-rence]:[Refe-rence]],Materials[[Density (kg/m3)]:[Density (kg/m3)]])*BV19</f>
        <v>4.2990092896915957E-3</v>
      </c>
      <c r="BR21" s="726"/>
      <c r="BS21" s="723" t="s">
        <v>1</v>
      </c>
      <c r="BU21" s="613" t="s">
        <v>2127</v>
      </c>
      <c r="BV21" s="626">
        <f>LN(BQ25/BQ23)*9.8*CA14</f>
        <v>10875.644303085086</v>
      </c>
      <c r="BW21" s="626"/>
      <c r="BX21" s="614" t="s">
        <v>16</v>
      </c>
      <c r="BY21" s="614"/>
      <c r="CB21" s="167"/>
    </row>
    <row r="22" spans="1:80">
      <c r="A22" s="486"/>
      <c r="AG22" s="486"/>
      <c r="AK22" s="399"/>
      <c r="AO22" s="401"/>
      <c r="AQ22" s="398"/>
      <c r="AR22" s="398"/>
      <c r="AT22" s="398"/>
      <c r="BA22" s="167"/>
      <c r="BB22" s="167"/>
      <c r="BC22" s="167"/>
      <c r="BD22" s="167"/>
      <c r="BE22" s="167"/>
      <c r="BF22" s="486"/>
      <c r="BH22" s="401"/>
      <c r="BI22" s="171" t="s">
        <v>2134</v>
      </c>
      <c r="BJ22" s="484">
        <f>-1*BS11</f>
        <v>-5</v>
      </c>
      <c r="BK22" s="398"/>
      <c r="BL22" s="614" t="s">
        <v>2129</v>
      </c>
      <c r="BM22" s="613" t="str">
        <f>"L "&amp;ROUND(SUM(BL17,BS17),1) &amp;"m"</f>
        <v>L 0.6m</v>
      </c>
      <c r="BN22" s="613"/>
      <c r="BO22" s="477"/>
      <c r="BP22" s="724"/>
      <c r="BQ22" s="727"/>
      <c r="BR22" s="727"/>
      <c r="BS22" s="724"/>
      <c r="BU22" s="613"/>
      <c r="BV22" s="626"/>
      <c r="BW22" s="626"/>
      <c r="BX22" s="614"/>
      <c r="BY22" s="614"/>
      <c r="CB22" s="167"/>
    </row>
    <row r="23" spans="1:80">
      <c r="BH23" s="401"/>
      <c r="BI23" s="171" t="s">
        <v>1241</v>
      </c>
      <c r="BJ23" s="484">
        <f>BX12*1000</f>
        <v>0</v>
      </c>
      <c r="BK23" s="398"/>
      <c r="BL23" s="614"/>
      <c r="BM23" s="613" t="str">
        <f>"D "&amp;ROUND(BH15*2,1) &amp;"m"</f>
        <v>D 0.4m</v>
      </c>
      <c r="BN23" s="613"/>
      <c r="BO23" s="477"/>
      <c r="BP23" s="614" t="s">
        <v>2125</v>
      </c>
      <c r="BQ23" s="725">
        <f>SUM(BJ15,BS14,BU15,BQ21,BP15,BS10)</f>
        <v>170.82929900928968</v>
      </c>
      <c r="BR23" s="725"/>
      <c r="BS23" s="614" t="s">
        <v>1</v>
      </c>
      <c r="BU23" s="614" t="s">
        <v>2128</v>
      </c>
      <c r="BV23" s="626">
        <f>BS15/(BX15*9.8/(9.8*CA14))</f>
        <v>2186.7999999999997</v>
      </c>
      <c r="BW23" s="626"/>
      <c r="BX23" s="613" t="s">
        <v>988</v>
      </c>
      <c r="BY23" s="613"/>
      <c r="CB23" s="167"/>
    </row>
    <row r="24" spans="1:80" ht="14.25" customHeight="1">
      <c r="D24" t="s">
        <v>2113</v>
      </c>
      <c r="J24" s="401" t="s">
        <v>2108</v>
      </c>
      <c r="T24" s="614" t="s">
        <v>2154</v>
      </c>
      <c r="U24" s="626">
        <f>I6*LOOKUP(F5,Materials[[Refe-rence]:[Refe-rence]],Materials[[Density (kg/m3)]:[Density (kg/m3)]])*2*PI()*F4*Z24/1000</f>
        <v>3.2001156726956412</v>
      </c>
      <c r="V24" s="613" t="s">
        <v>1521</v>
      </c>
      <c r="W24" s="490"/>
      <c r="X24" s="490"/>
      <c r="Y24" s="613" t="s">
        <v>2155</v>
      </c>
      <c r="Z24" s="626">
        <f>SUM(G20,R20,Z20)</f>
        <v>85.479401664971832</v>
      </c>
      <c r="AA24" s="613" t="s">
        <v>2</v>
      </c>
      <c r="BH24" s="401"/>
      <c r="BI24" s="171" t="s">
        <v>2130</v>
      </c>
      <c r="BJ24" s="484">
        <f>BP14</f>
        <v>5</v>
      </c>
      <c r="BK24" s="398"/>
      <c r="BL24" s="614"/>
      <c r="BM24" s="613" t="str">
        <f>"FA "&amp;ROUND(BH15^2*PI(),1) &amp;"m^2"</f>
        <v>FA 0.1m^2</v>
      </c>
      <c r="BN24" s="613"/>
      <c r="BO24" s="477"/>
      <c r="BP24" s="614"/>
      <c r="BQ24" s="725"/>
      <c r="BR24" s="725"/>
      <c r="BS24" s="614"/>
      <c r="BU24" s="614"/>
      <c r="BV24" s="626"/>
      <c r="BW24" s="626"/>
      <c r="BX24" s="613"/>
      <c r="BY24" s="613"/>
      <c r="CB24" s="167"/>
    </row>
    <row r="25" spans="1:80">
      <c r="H25" s="402"/>
      <c r="I25" s="402"/>
      <c r="R25" s="489"/>
      <c r="S25" s="496"/>
      <c r="T25" s="614"/>
      <c r="U25" s="626"/>
      <c r="V25" s="613"/>
      <c r="W25" s="490"/>
      <c r="X25" s="490"/>
      <c r="Y25" s="613"/>
      <c r="Z25" s="626"/>
      <c r="AA25" s="613"/>
      <c r="BH25" s="401"/>
      <c r="BI25" s="171"/>
      <c r="BJ25" s="484"/>
      <c r="BK25" s="398"/>
      <c r="BL25" s="614"/>
      <c r="BM25" s="613" t="str">
        <f>"OA "&amp;ROUND(2*BH15*SUM(BL17,BS17),1) &amp;"m^2"</f>
        <v>OA 0.2m^2</v>
      </c>
      <c r="BN25" s="613"/>
      <c r="BO25" s="477"/>
      <c r="BP25" s="614" t="s">
        <v>2126</v>
      </c>
      <c r="BQ25" s="725">
        <f>SUM(BQ23,BS15)</f>
        <v>225.82929900928968</v>
      </c>
      <c r="BR25" s="725"/>
      <c r="BS25" s="614" t="s">
        <v>1</v>
      </c>
      <c r="BT25" s="477"/>
      <c r="BU25" s="613" t="s">
        <v>799</v>
      </c>
      <c r="BV25" s="626">
        <f>BX15/BQ25</f>
        <v>0.44281233851718421</v>
      </c>
      <c r="BW25" s="626">
        <f>BX15/BQ23</f>
        <v>0.58537967772473276</v>
      </c>
      <c r="BX25" s="613" t="s">
        <v>753</v>
      </c>
      <c r="BY25" s="613"/>
      <c r="CB25" s="167"/>
    </row>
    <row r="26" spans="1:80">
      <c r="D26" s="184">
        <v>5</v>
      </c>
      <c r="E26" t="s">
        <v>2114</v>
      </c>
      <c r="F26" s="740"/>
      <c r="G26" s="740"/>
      <c r="H26" s="740"/>
      <c r="J26" s="184">
        <v>3</v>
      </c>
      <c r="K26" t="s">
        <v>2107</v>
      </c>
      <c r="L26" s="737" t="s">
        <v>2109</v>
      </c>
      <c r="M26" s="738"/>
      <c r="N26" s="738"/>
      <c r="O26" s="739"/>
      <c r="S26" s="496"/>
      <c r="T26" s="614" t="s">
        <v>2160</v>
      </c>
      <c r="U26" s="626">
        <f>SUM(U24,T15,V11,T7,Z5,Z17,P10,M7,I11,G16,J4)</f>
        <v>413.89225852983844</v>
      </c>
      <c r="V26" s="613" t="s">
        <v>1521</v>
      </c>
      <c r="Y26" s="613" t="s">
        <v>2156</v>
      </c>
      <c r="Z26" s="744">
        <f>F4*2</f>
        <v>20</v>
      </c>
      <c r="AA26" s="613" t="s">
        <v>2</v>
      </c>
      <c r="BH26" s="401"/>
      <c r="BI26" s="171" t="s">
        <v>2135</v>
      </c>
      <c r="BJ26" s="484">
        <f>SUM(BJ22:BJ24)</f>
        <v>0</v>
      </c>
      <c r="BK26" s="398"/>
      <c r="BL26" s="614"/>
      <c r="BM26" s="613" t="str">
        <f>"V "&amp;ROUND(PI()*BH15^2*SUM(BL17,BP17,BS17),2)&amp;"m^3"</f>
        <v>V 0.07m^3</v>
      </c>
      <c r="BN26" s="613"/>
      <c r="BO26" s="477"/>
      <c r="BP26" s="614"/>
      <c r="BQ26" s="725"/>
      <c r="BR26" s="725"/>
      <c r="BS26" s="614"/>
      <c r="BT26" s="477"/>
      <c r="BU26" s="613"/>
      <c r="BV26" s="626"/>
      <c r="BW26" s="626"/>
      <c r="BX26" s="613"/>
      <c r="BY26" s="613"/>
      <c r="CB26" s="167"/>
    </row>
    <row r="27" spans="1:80">
      <c r="E27" t="s">
        <v>4</v>
      </c>
      <c r="F27" s="184">
        <v>100</v>
      </c>
      <c r="G27" s="402" t="s">
        <v>1</v>
      </c>
      <c r="J27"/>
      <c r="K27" t="s">
        <v>4</v>
      </c>
      <c r="L27" s="457">
        <v>50</v>
      </c>
      <c r="M27" s="401" t="s">
        <v>1</v>
      </c>
      <c r="N27" s="443">
        <v>0.05</v>
      </c>
      <c r="O27" t="s">
        <v>2116</v>
      </c>
      <c r="S27" s="500"/>
      <c r="T27" s="614"/>
      <c r="U27" s="626"/>
      <c r="V27" s="613"/>
      <c r="Y27" s="613"/>
      <c r="Z27" s="744"/>
      <c r="AA27" s="613"/>
      <c r="BH27" s="401"/>
      <c r="BI27" s="398"/>
      <c r="BP27" s="401"/>
      <c r="BQ27" s="477"/>
      <c r="BR27" s="477"/>
      <c r="BS27" s="477"/>
      <c r="BT27" s="477"/>
      <c r="BU27" s="477"/>
      <c r="BV27" s="477"/>
      <c r="CB27" s="167"/>
    </row>
    <row r="28" spans="1:80">
      <c r="E28" s="171" t="s">
        <v>2140</v>
      </c>
      <c r="F28" s="184">
        <v>1</v>
      </c>
      <c r="G28" s="402" t="s">
        <v>850</v>
      </c>
      <c r="J28"/>
      <c r="K28" t="s">
        <v>2106</v>
      </c>
      <c r="L28" s="412">
        <v>50</v>
      </c>
      <c r="M28" s="401" t="s">
        <v>2083</v>
      </c>
      <c r="N28" s="184">
        <v>500</v>
      </c>
      <c r="O28" t="s">
        <v>2115</v>
      </c>
      <c r="BH28" s="401"/>
      <c r="BI28" s="398"/>
      <c r="CB28" s="167"/>
    </row>
    <row r="29" spans="1:80">
      <c r="J29"/>
      <c r="K29"/>
      <c r="L29"/>
      <c r="S29" s="503" t="s">
        <v>2173</v>
      </c>
      <c r="T29" s="503"/>
      <c r="BH29" s="401"/>
      <c r="BI29" s="398"/>
      <c r="BJ29" s="398"/>
      <c r="CB29" s="167"/>
    </row>
    <row r="30" spans="1:80">
      <c r="D30" s="184"/>
      <c r="E30" s="402" t="s">
        <v>2114</v>
      </c>
      <c r="F30" s="740"/>
      <c r="G30" s="740"/>
      <c r="H30" s="740"/>
      <c r="J30" s="184"/>
      <c r="K30" s="402" t="s">
        <v>2107</v>
      </c>
      <c r="L30" s="737"/>
      <c r="M30" s="738"/>
      <c r="N30" s="738"/>
      <c r="O30" s="739"/>
      <c r="T30" s="171" t="s">
        <v>2164</v>
      </c>
      <c r="U30" s="494" t="str">
        <f>IF(V30=0,"ENGINE-1",IF(V30=1,"ENGINE-2","BOTH"))</f>
        <v>BOTH</v>
      </c>
      <c r="V30" s="398">
        <v>2</v>
      </c>
      <c r="Y30" t="s">
        <v>2175</v>
      </c>
      <c r="Z30" s="167">
        <f>SUM(U26,T6*U36,T16*U37,U34*E11,I12*U33)</f>
        <v>1664.4047585298385</v>
      </c>
      <c r="AA30" t="s">
        <v>1521</v>
      </c>
    </row>
    <row r="31" spans="1:80">
      <c r="D31" s="402"/>
      <c r="E31" s="402" t="s">
        <v>4</v>
      </c>
      <c r="F31" s="184"/>
      <c r="G31" s="402" t="s">
        <v>1</v>
      </c>
      <c r="H31" s="402"/>
      <c r="J31" s="402"/>
      <c r="K31" s="402" t="s">
        <v>4</v>
      </c>
      <c r="L31" s="412"/>
      <c r="M31" s="402" t="s">
        <v>1</v>
      </c>
      <c r="N31" s="184"/>
      <c r="O31" s="402" t="s">
        <v>2116</v>
      </c>
      <c r="T31" s="171" t="s">
        <v>2165</v>
      </c>
      <c r="U31" s="184">
        <v>1900</v>
      </c>
      <c r="Y31" t="s">
        <v>2174</v>
      </c>
      <c r="Z31" s="167">
        <f>SUM(U26,T6*U39,T16*U40,U34*E11,I12*U33)</f>
        <v>459.63848593845358</v>
      </c>
      <c r="AA31" t="s">
        <v>1521</v>
      </c>
    </row>
    <row r="32" spans="1:80">
      <c r="E32" s="171" t="s">
        <v>2140</v>
      </c>
      <c r="F32" s="184"/>
      <c r="G32" s="477" t="s">
        <v>850</v>
      </c>
      <c r="J32" s="402"/>
      <c r="K32" s="402" t="s">
        <v>2106</v>
      </c>
      <c r="L32" s="412"/>
      <c r="M32" s="402" t="s">
        <v>2083</v>
      </c>
      <c r="N32" s="184"/>
      <c r="O32" s="402" t="s">
        <v>2115</v>
      </c>
      <c r="T32" s="511" t="s">
        <v>2172</v>
      </c>
      <c r="U32" s="512">
        <f>IF(AB11="NO",
IF(V30=0,T6/AD6,IF(V30=1,T16/AD16,MIN(T6/AD6,T16/AD16))),
IF(V30=0,SUM(T6,T16)/AD6,IF(V30=1,SUM(T6,T16)/AD16,SUM(T6,T16)/SUM(AD6,AD16))))</f>
        <v>1971.3367264934368</v>
      </c>
      <c r="V32" s="513" t="s">
        <v>988</v>
      </c>
      <c r="Y32" t="s">
        <v>416</v>
      </c>
      <c r="Z32">
        <f>IF(V30=0,Z8,IF(V30=1,Z14,SUM(Z8,Z14)))</f>
        <v>600</v>
      </c>
      <c r="AA32" t="s">
        <v>2076</v>
      </c>
    </row>
    <row r="33" spans="4:27">
      <c r="J33"/>
      <c r="K33"/>
      <c r="L33" s="402"/>
      <c r="M33" s="402"/>
      <c r="N33" s="402"/>
      <c r="O33" s="402"/>
      <c r="T33" s="171" t="s">
        <v>2159</v>
      </c>
      <c r="U33" s="86">
        <v>0.5</v>
      </c>
      <c r="Y33" s="137" t="s">
        <v>2170</v>
      </c>
      <c r="Z33" s="504">
        <f>Z32/(Z30-Z31)*U31</f>
        <v>946.2416287168495</v>
      </c>
      <c r="AA33" s="137" t="s">
        <v>988</v>
      </c>
    </row>
    <row r="34" spans="4:27">
      <c r="D34" s="184"/>
      <c r="E34" s="402" t="s">
        <v>2114</v>
      </c>
      <c r="F34" s="740"/>
      <c r="G34" s="740"/>
      <c r="H34" s="740"/>
      <c r="J34" s="184"/>
      <c r="K34" s="402" t="s">
        <v>2107</v>
      </c>
      <c r="L34" s="737"/>
      <c r="M34" s="738"/>
      <c r="N34" s="738"/>
      <c r="O34" s="739"/>
      <c r="T34" s="266" t="s">
        <v>2163</v>
      </c>
      <c r="U34" s="86">
        <v>1</v>
      </c>
    </row>
    <row r="35" spans="4:27" ht="14.65" thickBot="1">
      <c r="D35" s="402"/>
      <c r="E35" s="402" t="s">
        <v>4</v>
      </c>
      <c r="F35" s="184"/>
      <c r="G35" s="402" t="s">
        <v>1</v>
      </c>
      <c r="H35" s="402"/>
      <c r="J35" s="402"/>
      <c r="K35" s="402" t="s">
        <v>4</v>
      </c>
      <c r="L35" s="412"/>
      <c r="M35" s="402" t="s">
        <v>1</v>
      </c>
      <c r="N35" s="184"/>
      <c r="O35" s="402" t="s">
        <v>2116</v>
      </c>
      <c r="Y35" s="614" t="s">
        <v>2168</v>
      </c>
      <c r="Z35" s="268">
        <f>$Z$32/Z30*1000</f>
        <v>360.48923612185382</v>
      </c>
      <c r="AA35" s="613" t="s">
        <v>2169</v>
      </c>
    </row>
    <row r="36" spans="4:27" ht="14.65" thickBot="1">
      <c r="E36" s="171" t="s">
        <v>2140</v>
      </c>
      <c r="F36" s="184"/>
      <c r="G36" s="477" t="s">
        <v>850</v>
      </c>
      <c r="J36" s="402"/>
      <c r="K36" s="402" t="s">
        <v>2106</v>
      </c>
      <c r="L36" s="412"/>
      <c r="M36" s="402" t="s">
        <v>2083</v>
      </c>
      <c r="N36" s="184"/>
      <c r="O36" s="402" t="s">
        <v>2115</v>
      </c>
      <c r="T36" s="507" t="s">
        <v>2161</v>
      </c>
      <c r="U36" s="508">
        <v>1</v>
      </c>
      <c r="V36" s="745">
        <f>SUM($T$6*U36,$T$16*U37)/SUM($T$6,$T$16)</f>
        <v>1</v>
      </c>
      <c r="W36" s="745"/>
      <c r="Y36" s="614"/>
      <c r="Z36" s="268">
        <f>$Z$32/Z31*1000</f>
        <v>1305.3737194677408</v>
      </c>
      <c r="AA36" s="613"/>
    </row>
    <row r="37" spans="4:27" ht="14.65" thickBot="1">
      <c r="J37"/>
      <c r="K37"/>
      <c r="L37" s="402"/>
      <c r="M37" s="402"/>
      <c r="N37" s="402"/>
      <c r="O37" s="402"/>
      <c r="T37" s="507" t="s">
        <v>2162</v>
      </c>
      <c r="U37" s="508">
        <v>1</v>
      </c>
      <c r="V37" s="745"/>
      <c r="W37" s="745"/>
      <c r="Y37" s="614" t="s">
        <v>2177</v>
      </c>
      <c r="Z37" s="365">
        <f>2*SQRT(PI()/(Z32*9805*1/2*Z24*SIN(AD11/180*PI())/(1/3*Z30*1000*(3*F4^2+Z24^2))))</f>
        <v>49.193707937508641</v>
      </c>
      <c r="AA37" s="614" t="s">
        <v>2178</v>
      </c>
    </row>
    <row r="38" spans="4:27" ht="14.65" thickBot="1">
      <c r="D38" s="184"/>
      <c r="E38" s="402" t="s">
        <v>2114</v>
      </c>
      <c r="F38" s="740"/>
      <c r="G38" s="740"/>
      <c r="H38" s="740"/>
      <c r="J38" s="184"/>
      <c r="K38" s="402" t="s">
        <v>2107</v>
      </c>
      <c r="L38" s="737"/>
      <c r="M38" s="738"/>
      <c r="N38" s="738"/>
      <c r="O38" s="739"/>
      <c r="Y38" s="614"/>
      <c r="Z38" s="365">
        <f>2*SQRT(PI()/(Z32*9805*1/2*Z24*SIN(AD11/180*PI())/(1/3*Z31*1000*(3*F4^2+Z24^2))))</f>
        <v>25.851650550507259</v>
      </c>
      <c r="AA38" s="614"/>
    </row>
    <row r="39" spans="4:27" ht="14.65" thickBot="1">
      <c r="D39" s="402"/>
      <c r="E39" s="402" t="s">
        <v>4</v>
      </c>
      <c r="F39" s="184"/>
      <c r="G39" s="402" t="s">
        <v>1</v>
      </c>
      <c r="H39" s="402"/>
      <c r="J39" s="402"/>
      <c r="K39" s="402" t="s">
        <v>4</v>
      </c>
      <c r="L39" s="412"/>
      <c r="M39" s="402" t="s">
        <v>1</v>
      </c>
      <c r="N39" s="184"/>
      <c r="O39" s="402" t="s">
        <v>2116</v>
      </c>
      <c r="S39" s="505" t="str">
        <f>IF(U39&lt;0,"DRAINED","")</f>
        <v>DRAINED</v>
      </c>
      <c r="T39" s="509" t="s">
        <v>2161</v>
      </c>
      <c r="U39" s="510">
        <f>IF(OR(V30=0,V30=2),U36-(AD6/T6)*U31,U36)</f>
        <v>-0.1515151515151516</v>
      </c>
      <c r="V39" s="745">
        <f>SUM($T$6*U39,$T$16*U40)/SUM($T$6,$T$16)</f>
        <v>3.6186981926892146E-2</v>
      </c>
      <c r="W39" s="745"/>
      <c r="Y39" s="613" t="s">
        <v>2171</v>
      </c>
      <c r="Z39" s="749">
        <f>Z33*9.805*LN(Z30/Z31)</f>
        <v>11938.638805342674</v>
      </c>
      <c r="AA39" s="613" t="s">
        <v>16</v>
      </c>
    </row>
    <row r="40" spans="4:27" ht="14.65" thickBot="1">
      <c r="E40" s="171" t="s">
        <v>2140</v>
      </c>
      <c r="F40" s="184"/>
      <c r="G40" s="477" t="s">
        <v>850</v>
      </c>
      <c r="J40" s="402"/>
      <c r="K40" s="402" t="s">
        <v>2106</v>
      </c>
      <c r="L40" s="412"/>
      <c r="M40" s="402" t="s">
        <v>2083</v>
      </c>
      <c r="N40" s="184"/>
      <c r="O40" s="402" t="s">
        <v>2115</v>
      </c>
      <c r="R40"/>
      <c r="S40" s="505" t="str">
        <f>IF(U40&lt;0,"DRAINED","")</f>
        <v/>
      </c>
      <c r="T40" s="509" t="s">
        <v>2162</v>
      </c>
      <c r="U40" s="510">
        <f>IF(OR(V30=1,V30=2),U37-(AD16/T16)*U31,U37)</f>
        <v>0.7869955156950672</v>
      </c>
      <c r="V40" s="745"/>
      <c r="W40" s="745"/>
      <c r="Y40" s="613"/>
      <c r="Z40" s="749"/>
      <c r="AA40" s="613"/>
    </row>
    <row r="41" spans="4:27" ht="14.65" thickBot="1"/>
    <row r="42" spans="4:27" ht="15" thickTop="1" thickBot="1">
      <c r="T42" s="746" t="str">
        <f>IF(AND(AB11="NO",U39&lt;0),"ENGINE-1 FLAMED OUT DUE TO PROPELLANT STARVATION","")</f>
        <v/>
      </c>
      <c r="U42" s="747"/>
      <c r="V42" s="747"/>
      <c r="W42" s="747"/>
      <c r="X42" s="747"/>
      <c r="Y42" s="747"/>
      <c r="Z42" s="747"/>
      <c r="AA42" s="748"/>
    </row>
    <row r="43" spans="4:27" ht="14.65" customHeight="1" thickTop="1" thickBot="1">
      <c r="T43" s="746" t="str">
        <f>IF(AND(AB11="NO",U40&lt;0),"ENGINE-2 FLAMED OUT DUE TO PROPELLANT STARVATION","")</f>
        <v/>
      </c>
      <c r="U43" s="747"/>
      <c r="V43" s="747"/>
      <c r="W43" s="747"/>
      <c r="X43" s="747"/>
      <c r="Y43" s="747"/>
      <c r="Z43" s="747"/>
      <c r="AA43" s="748"/>
    </row>
    <row r="44" spans="4:27" ht="14.65" thickTop="1"/>
    <row r="51" ht="14.25" customHeight="1"/>
    <row r="67" ht="14.65" customHeight="1"/>
  </sheetData>
  <mergeCells count="98">
    <mergeCell ref="V36:W37"/>
    <mergeCell ref="V39:W40"/>
    <mergeCell ref="T42:AA42"/>
    <mergeCell ref="T43:AA43"/>
    <mergeCell ref="Y35:Y36"/>
    <mergeCell ref="AA35:AA36"/>
    <mergeCell ref="Y39:Y40"/>
    <mergeCell ref="AA39:AA40"/>
    <mergeCell ref="Z39:Z40"/>
    <mergeCell ref="Y37:Y38"/>
    <mergeCell ref="AA37:AA38"/>
    <mergeCell ref="Y26:Y27"/>
    <mergeCell ref="Z24:Z25"/>
    <mergeCell ref="Z26:Z27"/>
    <mergeCell ref="AA24:AA25"/>
    <mergeCell ref="AA26:AA27"/>
    <mergeCell ref="F30:H30"/>
    <mergeCell ref="F34:H34"/>
    <mergeCell ref="F38:H38"/>
    <mergeCell ref="N10:N12"/>
    <mergeCell ref="F26:H26"/>
    <mergeCell ref="L26:O26"/>
    <mergeCell ref="L30:O30"/>
    <mergeCell ref="L34:O34"/>
    <mergeCell ref="AT10:AU10"/>
    <mergeCell ref="AQ16:AQ17"/>
    <mergeCell ref="AV9:AX9"/>
    <mergeCell ref="AR16:AS17"/>
    <mergeCell ref="L38:O38"/>
    <mergeCell ref="AW18:AX19"/>
    <mergeCell ref="AV18:AV19"/>
    <mergeCell ref="AV16:AV17"/>
    <mergeCell ref="AW16:AX17"/>
    <mergeCell ref="T26:T27"/>
    <mergeCell ref="U26:U27"/>
    <mergeCell ref="T24:T25"/>
    <mergeCell ref="U24:U25"/>
    <mergeCell ref="V24:V25"/>
    <mergeCell ref="V26:V27"/>
    <mergeCell ref="Y24:Y25"/>
    <mergeCell ref="AY16:AZ17"/>
    <mergeCell ref="AY18:AZ19"/>
    <mergeCell ref="AW20:AW21"/>
    <mergeCell ref="AX20:AX21"/>
    <mergeCell ref="AQ20:AQ21"/>
    <mergeCell ref="AR20:AS21"/>
    <mergeCell ref="AT20:AT21"/>
    <mergeCell ref="BW14:BY14"/>
    <mergeCell ref="BU15:BV15"/>
    <mergeCell ref="BN15:BO15"/>
    <mergeCell ref="BR10:BR11"/>
    <mergeCell ref="BM10:BP10"/>
    <mergeCell ref="BU21:BU22"/>
    <mergeCell ref="BV21:BW22"/>
    <mergeCell ref="BX21:BY22"/>
    <mergeCell ref="BM23:BN23"/>
    <mergeCell ref="BM24:BN24"/>
    <mergeCell ref="BU23:BU24"/>
    <mergeCell ref="BV23:BW24"/>
    <mergeCell ref="BX23:BY24"/>
    <mergeCell ref="BP21:BP22"/>
    <mergeCell ref="BQ21:BR22"/>
    <mergeCell ref="BS21:BS22"/>
    <mergeCell ref="BP23:BP24"/>
    <mergeCell ref="BQ23:BR24"/>
    <mergeCell ref="BS23:BS24"/>
    <mergeCell ref="BM22:BN22"/>
    <mergeCell ref="BU25:BU26"/>
    <mergeCell ref="BV25:BV26"/>
    <mergeCell ref="BW25:BW26"/>
    <mergeCell ref="BX25:BY26"/>
    <mergeCell ref="BP25:BP26"/>
    <mergeCell ref="BQ25:BR26"/>
    <mergeCell ref="BS25:BS26"/>
    <mergeCell ref="BM26:BN26"/>
    <mergeCell ref="BL22:BL26"/>
    <mergeCell ref="AM17:AO17"/>
    <mergeCell ref="AM18:AO18"/>
    <mergeCell ref="AM19:AO19"/>
    <mergeCell ref="AM20:AO20"/>
    <mergeCell ref="BM25:BN25"/>
    <mergeCell ref="AY20:AZ21"/>
    <mergeCell ref="AT16:AT17"/>
    <mergeCell ref="AR18:AS19"/>
    <mergeCell ref="AQ18:AQ19"/>
    <mergeCell ref="AT18:AT19"/>
    <mergeCell ref="BF6:BF16"/>
    <mergeCell ref="BI14:BI15"/>
    <mergeCell ref="BJ14:BM14"/>
    <mergeCell ref="AV20:AV21"/>
    <mergeCell ref="Z7:AA7"/>
    <mergeCell ref="Z15:AA15"/>
    <mergeCell ref="A6:A16"/>
    <mergeCell ref="AM21:AO21"/>
    <mergeCell ref="AL17:AL21"/>
    <mergeCell ref="AL9:AL10"/>
    <mergeCell ref="AM9:AP9"/>
    <mergeCell ref="AG6:AG16"/>
  </mergeCells>
  <dataValidations count="8">
    <dataValidation operator="lessThan" allowBlank="1" showInputMessage="1" showErrorMessage="1" sqref="M8" xr:uid="{B8E8E427-F52E-4607-82E5-FAF77C703BAC}"/>
    <dataValidation type="decimal" operator="greaterThan" allowBlank="1" showInputMessage="1" showErrorMessage="1" sqref="F28 F32 F36 F40 U39:U40" xr:uid="{AA1067E2-E0A7-4B02-8CCB-5558C9878412}">
      <formula1>0</formula1>
    </dataValidation>
    <dataValidation type="decimal" operator="greaterThan" allowBlank="1" showInputMessage="1" showErrorMessage="1" sqref="F6" xr:uid="{17F66CED-0435-42E7-813E-0C6F96C9F109}">
      <formula1>1</formula1>
    </dataValidation>
    <dataValidation type="decimal" operator="greaterThan" allowBlank="1" showInputMessage="1" showErrorMessage="1" sqref="F4" xr:uid="{63D371CB-8149-4C4E-89D6-695D5DB65AF3}">
      <formula1>P11</formula1>
    </dataValidation>
    <dataValidation type="decimal" allowBlank="1" showInputMessage="1" showErrorMessage="1" sqref="U33:U34" xr:uid="{86DB43F6-29DF-42AA-A8AE-8942B8C22ACE}">
      <formula1>0</formula1>
      <formula2>1</formula2>
    </dataValidation>
    <dataValidation type="decimal" allowBlank="1" showInputMessage="1" showErrorMessage="1" sqref="U31" xr:uid="{E3DB69CE-8C84-4844-8843-0002A7A31482}">
      <formula1>0</formula1>
      <formula2>U32</formula2>
    </dataValidation>
    <dataValidation type="decimal" allowBlank="1" showInputMessage="1" showErrorMessage="1" sqref="AD11" xr:uid="{2A26ACF2-39D0-419F-98B5-26C072669FAF}">
      <formula1>0</formula1>
      <formula2>90</formula2>
    </dataValidation>
    <dataValidation type="decimal" operator="greaterThanOrEqual" allowBlank="1" showInputMessage="1" showErrorMessage="1" sqref="J4" xr:uid="{52677084-B223-4924-BCD6-2502449FA8D1}">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7" r:id="rId4" name="Spinner 7">
              <controlPr defaultSize="0" autoPict="0">
                <anchor moveWithCells="1" sizeWithCells="1">
                  <from>
                    <xdr:col>20</xdr:col>
                    <xdr:colOff>571500</xdr:colOff>
                    <xdr:row>29</xdr:row>
                    <xdr:rowOff>9525</xdr:rowOff>
                  </from>
                  <to>
                    <xdr:col>21</xdr:col>
                    <xdr:colOff>276225</xdr:colOff>
                    <xdr:row>31</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B3874-5066-4B35-9A0B-385657B4E8B5}">
  <sheetPr codeName="Sheet6">
    <tabColor theme="9"/>
  </sheetPr>
  <dimension ref="A1:AL66"/>
  <sheetViews>
    <sheetView topLeftCell="A2" workbookViewId="0"/>
  </sheetViews>
  <sheetFormatPr defaultRowHeight="14.25"/>
  <cols>
    <col min="1" max="1" width="3.59765625" customWidth="1"/>
    <col min="3" max="3" width="11.53125" customWidth="1"/>
    <col min="4" max="4" width="11.59765625" customWidth="1"/>
    <col min="5" max="5" width="4" customWidth="1"/>
    <col min="6" max="6" width="7.46484375" customWidth="1"/>
    <col min="7" max="7" width="3" customWidth="1"/>
    <col min="8" max="8" width="5.1328125" customWidth="1"/>
    <col min="9" max="9" width="3.53125" customWidth="1"/>
    <col min="10" max="10" width="13.33203125" customWidth="1"/>
    <col min="11" max="11" width="9.796875" customWidth="1"/>
    <col min="12" max="12" width="6.59765625" customWidth="1"/>
    <col min="13" max="13" width="3.53125" customWidth="1"/>
    <col min="16" max="16" width="9.73046875" customWidth="1"/>
    <col min="17" max="17" width="8.19921875" customWidth="1"/>
    <col min="18" max="18" width="8.46484375" style="42" customWidth="1"/>
    <col min="19" max="19" width="10.86328125" customWidth="1"/>
    <col min="23" max="23" width="9.06640625" style="164"/>
    <col min="24" max="24" width="10.6640625" style="164" customWidth="1"/>
    <col min="25" max="25" width="10.73046875" style="164" customWidth="1"/>
    <col min="26" max="26" width="11" style="164" customWidth="1"/>
    <col min="27" max="27" width="9.33203125" style="164" customWidth="1"/>
    <col min="28" max="28" width="10.3984375" style="164" customWidth="1"/>
    <col min="29" max="32" width="9.06640625" style="164"/>
    <col min="33" max="33" width="4.1328125" style="164" customWidth="1"/>
    <col min="34" max="34" width="16.1328125" style="164" customWidth="1"/>
    <col min="35" max="37" width="9.06640625" style="164"/>
    <col min="38" max="38" width="15.73046875" style="164" customWidth="1"/>
    <col min="43" max="43" width="5.86328125" customWidth="1"/>
    <col min="44" max="44" width="7.59765625" customWidth="1"/>
    <col min="45" max="45" width="12.1328125" customWidth="1"/>
  </cols>
  <sheetData>
    <row r="1" spans="1:38" s="38" customFormat="1" ht="7.15" customHeight="1">
      <c r="A1" s="164"/>
      <c r="B1" s="164"/>
      <c r="C1" s="164"/>
      <c r="D1" s="164"/>
      <c r="E1" s="164"/>
      <c r="F1" s="164"/>
      <c r="G1" s="164"/>
      <c r="H1" s="164"/>
      <c r="I1" s="164"/>
      <c r="J1" s="164"/>
      <c r="K1" s="164"/>
      <c r="L1" s="164"/>
      <c r="M1" s="164"/>
      <c r="N1" s="164"/>
      <c r="O1" s="164"/>
      <c r="P1" s="164"/>
      <c r="R1" s="42"/>
      <c r="W1" s="164"/>
    </row>
    <row r="2" spans="1:38" s="38" customFormat="1" ht="18.75" customHeight="1">
      <c r="A2" s="750" t="s">
        <v>332</v>
      </c>
      <c r="B2" s="750"/>
      <c r="C2" s="750"/>
      <c r="D2" s="168"/>
      <c r="E2" s="168"/>
      <c r="F2" s="164"/>
      <c r="G2" s="164"/>
      <c r="H2" s="164"/>
      <c r="I2" s="164"/>
      <c r="J2" s="164"/>
      <c r="K2" s="164"/>
      <c r="L2" s="164"/>
      <c r="M2" s="164"/>
      <c r="N2" s="164"/>
      <c r="O2" s="164"/>
      <c r="P2" s="164"/>
      <c r="R2" s="42"/>
      <c r="W2" s="164"/>
      <c r="X2" s="754" t="s">
        <v>740</v>
      </c>
      <c r="Y2" s="751" t="s">
        <v>720</v>
      </c>
      <c r="Z2" s="751" t="s">
        <v>719</v>
      </c>
      <c r="AA2" s="751" t="s">
        <v>721</v>
      </c>
      <c r="AB2" s="751" t="s">
        <v>724</v>
      </c>
      <c r="AC2" s="751" t="s">
        <v>722</v>
      </c>
      <c r="AD2" s="751" t="s">
        <v>734</v>
      </c>
      <c r="AE2" s="751" t="s">
        <v>733</v>
      </c>
      <c r="AF2" s="752" t="s">
        <v>736</v>
      </c>
      <c r="AH2" s="753" t="s">
        <v>821</v>
      </c>
      <c r="AI2" s="753"/>
      <c r="AJ2" s="753"/>
      <c r="AK2" s="753"/>
      <c r="AL2" s="753"/>
    </row>
    <row r="3" spans="1:38" s="38" customFormat="1" ht="14.25" customHeight="1" thickBot="1">
      <c r="A3" s="164"/>
      <c r="B3" s="164" t="s">
        <v>669</v>
      </c>
      <c r="C3" s="164"/>
      <c r="D3" s="164"/>
      <c r="E3" s="164"/>
      <c r="F3" s="164"/>
      <c r="G3" s="164"/>
      <c r="H3" s="164"/>
      <c r="I3" s="164"/>
      <c r="J3" s="164"/>
      <c r="K3" s="164"/>
      <c r="L3" s="164"/>
      <c r="M3" s="164"/>
      <c r="N3" s="164"/>
      <c r="O3" s="164"/>
      <c r="P3" s="164"/>
      <c r="R3" s="42"/>
      <c r="W3" s="164"/>
      <c r="X3" s="754"/>
      <c r="Y3" s="751"/>
      <c r="Z3" s="751"/>
      <c r="AA3" s="751"/>
      <c r="AB3" s="751"/>
      <c r="AC3" s="751"/>
      <c r="AD3" s="751"/>
      <c r="AE3" s="751"/>
      <c r="AF3" s="752"/>
      <c r="AH3" s="753"/>
      <c r="AI3" s="753"/>
      <c r="AJ3" s="753"/>
      <c r="AK3" s="753"/>
      <c r="AL3" s="753"/>
    </row>
    <row r="4" spans="1:38" s="38" customFormat="1">
      <c r="A4" s="164"/>
      <c r="B4" s="177" t="s">
        <v>670</v>
      </c>
      <c r="C4" s="164"/>
      <c r="D4" s="164"/>
      <c r="E4" s="164"/>
      <c r="F4" s="173"/>
      <c r="G4" s="164"/>
      <c r="H4" s="164"/>
      <c r="I4" s="164"/>
      <c r="J4" s="164"/>
      <c r="K4" s="164"/>
      <c r="L4" s="164"/>
      <c r="M4" s="164"/>
      <c r="N4" s="164"/>
      <c r="O4" s="164"/>
      <c r="P4" s="164"/>
      <c r="R4" s="42"/>
      <c r="W4" s="164"/>
      <c r="X4" s="754"/>
      <c r="Y4" s="751"/>
      <c r="Z4" s="751"/>
      <c r="AA4" s="751"/>
      <c r="AB4" s="751"/>
      <c r="AC4" s="751"/>
      <c r="AD4" s="751"/>
      <c r="AE4" s="751"/>
      <c r="AF4" s="752"/>
      <c r="AG4" s="168"/>
      <c r="AH4" s="192" t="s">
        <v>300</v>
      </c>
      <c r="AI4" s="559" t="s">
        <v>301</v>
      </c>
      <c r="AJ4" s="559"/>
      <c r="AK4" s="559"/>
      <c r="AL4" s="560"/>
    </row>
    <row r="5" spans="1:38">
      <c r="A5" s="164"/>
      <c r="B5" s="164" t="s">
        <v>671</v>
      </c>
      <c r="C5" s="164"/>
      <c r="D5" s="164"/>
      <c r="E5" s="164"/>
      <c r="F5" s="164"/>
      <c r="G5" s="164"/>
      <c r="H5" s="164"/>
      <c r="I5" s="164"/>
      <c r="J5" s="164"/>
      <c r="K5" s="164"/>
      <c r="L5" s="164"/>
      <c r="M5" s="164"/>
      <c r="N5" s="164"/>
      <c r="O5" s="164"/>
      <c r="P5" s="164"/>
      <c r="X5" s="244">
        <v>1</v>
      </c>
      <c r="Y5" s="244" t="s">
        <v>149</v>
      </c>
      <c r="Z5" s="244" t="s">
        <v>178</v>
      </c>
      <c r="AA5" s="517">
        <v>5.4100000000000002E-2</v>
      </c>
      <c r="AB5" s="517">
        <v>5.4100000000000002E-2</v>
      </c>
      <c r="AC5" s="244">
        <v>1060</v>
      </c>
      <c r="AD5" s="244">
        <v>120</v>
      </c>
      <c r="AE5" s="244">
        <v>1555</v>
      </c>
      <c r="AF5" s="244"/>
      <c r="AG5"/>
      <c r="AH5" s="193" t="s">
        <v>302</v>
      </c>
      <c r="AI5" s="556" t="s">
        <v>303</v>
      </c>
      <c r="AJ5" s="557"/>
      <c r="AK5" s="557"/>
      <c r="AL5" s="558"/>
    </row>
    <row r="6" spans="1:38" s="38" customFormat="1">
      <c r="A6" s="164"/>
      <c r="B6" s="164"/>
      <c r="C6" s="164"/>
      <c r="D6" s="164"/>
      <c r="E6" s="164"/>
      <c r="F6" s="164"/>
      <c r="G6" s="164"/>
      <c r="H6" s="164"/>
      <c r="I6" s="164"/>
      <c r="J6" s="164"/>
      <c r="K6" s="164"/>
      <c r="L6" s="164"/>
      <c r="M6" s="164"/>
      <c r="N6" s="164"/>
      <c r="O6" s="164"/>
      <c r="P6" s="164"/>
      <c r="R6" s="42"/>
      <c r="W6" s="164"/>
      <c r="X6" s="244">
        <v>2</v>
      </c>
      <c r="Y6" s="244" t="s">
        <v>149</v>
      </c>
      <c r="Z6" s="244" t="s">
        <v>180</v>
      </c>
      <c r="AA6" s="517">
        <v>4.5400000000000003E-2</v>
      </c>
      <c r="AB6" s="517">
        <v>4.48E-2</v>
      </c>
      <c r="AC6" s="244">
        <v>1060</v>
      </c>
      <c r="AD6" s="244">
        <v>120</v>
      </c>
      <c r="AE6" s="244">
        <v>1898</v>
      </c>
      <c r="AF6" s="244"/>
      <c r="AG6" s="164"/>
      <c r="AH6" s="193" t="s">
        <v>304</v>
      </c>
      <c r="AI6" s="203" t="s">
        <v>305</v>
      </c>
      <c r="AJ6" s="204"/>
      <c r="AK6" s="204"/>
      <c r="AL6" s="205"/>
    </row>
    <row r="7" spans="1:38">
      <c r="A7" s="164"/>
      <c r="B7" s="189" t="s">
        <v>739</v>
      </c>
      <c r="C7" s="164"/>
      <c r="D7" s="164"/>
      <c r="E7" s="164"/>
      <c r="F7" s="164"/>
      <c r="G7" s="164"/>
      <c r="H7" s="164"/>
      <c r="I7" s="179" t="s">
        <v>340</v>
      </c>
      <c r="J7" s="189"/>
      <c r="K7" s="164"/>
      <c r="L7" s="164"/>
      <c r="M7" s="164"/>
      <c r="N7" s="189" t="s">
        <v>665</v>
      </c>
      <c r="O7" s="164"/>
      <c r="P7" s="164"/>
      <c r="Q7" s="38"/>
      <c r="R7" s="38"/>
      <c r="S7" s="38"/>
      <c r="T7" s="5"/>
      <c r="U7" s="18"/>
      <c r="X7" s="244">
        <v>3</v>
      </c>
      <c r="Y7" s="244" t="s">
        <v>149</v>
      </c>
      <c r="Z7" s="244" t="s">
        <v>179</v>
      </c>
      <c r="AA7" s="517">
        <v>3.7600000000000001E-2</v>
      </c>
      <c r="AB7" s="517">
        <v>3.7199999999999997E-2</v>
      </c>
      <c r="AC7" s="244">
        <v>1050</v>
      </c>
      <c r="AD7" s="244">
        <v>120</v>
      </c>
      <c r="AE7" s="244">
        <v>1043</v>
      </c>
      <c r="AF7" s="244"/>
      <c r="AH7" s="194" t="s">
        <v>306</v>
      </c>
      <c r="AI7" s="206" t="s">
        <v>307</v>
      </c>
      <c r="AJ7" s="207"/>
      <c r="AK7" s="207"/>
      <c r="AL7" s="208"/>
    </row>
    <row r="8" spans="1:38">
      <c r="A8" s="164"/>
      <c r="B8" s="164"/>
      <c r="C8" s="164" t="s">
        <v>743</v>
      </c>
      <c r="D8" s="191">
        <v>50000000</v>
      </c>
      <c r="E8" s="164" t="s">
        <v>344</v>
      </c>
      <c r="F8" s="164"/>
      <c r="G8" s="164"/>
      <c r="H8" s="164"/>
      <c r="I8" s="164"/>
      <c r="J8" s="165" t="s">
        <v>737</v>
      </c>
      <c r="K8" s="185">
        <v>5</v>
      </c>
      <c r="L8" s="164" t="s">
        <v>2</v>
      </c>
      <c r="M8" s="164"/>
      <c r="N8" s="164"/>
      <c r="O8" s="164" t="s">
        <v>666</v>
      </c>
      <c r="P8" s="188">
        <v>500</v>
      </c>
      <c r="Q8" s="38" t="s">
        <v>2</v>
      </c>
      <c r="R8" s="38"/>
      <c r="S8" t="s">
        <v>29</v>
      </c>
      <c r="X8" s="244">
        <v>4</v>
      </c>
      <c r="Y8" s="244" t="s">
        <v>150</v>
      </c>
      <c r="Z8" s="244" t="s">
        <v>723</v>
      </c>
      <c r="AA8" s="517">
        <v>4.24E-2</v>
      </c>
      <c r="AB8" s="517">
        <v>3.9300000000000002E-2</v>
      </c>
      <c r="AC8" s="244">
        <v>790</v>
      </c>
      <c r="AD8" s="244">
        <v>165</v>
      </c>
      <c r="AE8" s="244">
        <v>2191</v>
      </c>
      <c r="AF8" s="244"/>
      <c r="AH8" s="195" t="s">
        <v>308</v>
      </c>
      <c r="AI8" s="209" t="s">
        <v>309</v>
      </c>
      <c r="AJ8" s="210"/>
      <c r="AK8" s="210"/>
      <c r="AL8" s="211"/>
    </row>
    <row r="9" spans="1:38" ht="14.65" thickBot="1">
      <c r="A9" s="164"/>
      <c r="B9" s="164"/>
      <c r="C9" s="165" t="s">
        <v>813</v>
      </c>
      <c r="D9" s="184">
        <v>1.7</v>
      </c>
      <c r="E9" s="164"/>
      <c r="F9" s="164"/>
      <c r="G9" s="164"/>
      <c r="H9" s="164"/>
      <c r="I9" s="164"/>
      <c r="J9" s="165" t="s">
        <v>339</v>
      </c>
      <c r="K9" s="186">
        <v>1.2500000000000001E-6</v>
      </c>
      <c r="L9" s="164" t="s">
        <v>341</v>
      </c>
      <c r="M9" s="164"/>
      <c r="N9" s="164"/>
      <c r="O9" s="164"/>
      <c r="P9" s="164"/>
      <c r="R9"/>
      <c r="X9" s="244">
        <v>5</v>
      </c>
      <c r="Y9" s="244" t="s">
        <v>726</v>
      </c>
      <c r="Z9" s="244" t="s">
        <v>725</v>
      </c>
      <c r="AA9" s="244"/>
      <c r="AB9" s="244"/>
      <c r="AC9" s="244"/>
      <c r="AD9" s="244"/>
      <c r="AE9" s="244">
        <v>2131</v>
      </c>
      <c r="AF9" s="244"/>
      <c r="AH9" s="196" t="s">
        <v>310</v>
      </c>
      <c r="AI9" s="212" t="s">
        <v>311</v>
      </c>
      <c r="AJ9" s="213"/>
      <c r="AK9" s="213"/>
      <c r="AL9" s="214"/>
    </row>
    <row r="10" spans="1:38" ht="14.65" thickTop="1">
      <c r="A10" s="164"/>
      <c r="B10" s="169" t="s">
        <v>741</v>
      </c>
      <c r="C10" s="596" t="str">
        <f>IF(B11&gt;0,LOOKUP(B11,X:X,Y:Y)&amp;" pumped "&amp;LOOKUP('CW Laser'!B11,X:X,Z:Z),"Custom")</f>
        <v>Xenon pumped Ti:Sapphire</v>
      </c>
      <c r="D10" s="596"/>
      <c r="E10" s="164"/>
      <c r="F10" s="519" t="s">
        <v>1079</v>
      </c>
      <c r="G10" s="520"/>
      <c r="H10" s="164"/>
      <c r="I10" s="164"/>
      <c r="J10" s="164"/>
      <c r="K10" s="164"/>
      <c r="L10" s="164"/>
      <c r="M10" s="164"/>
      <c r="N10" s="164"/>
      <c r="O10" s="164" t="s">
        <v>712</v>
      </c>
      <c r="P10" s="167">
        <f>(P17/0.0000000567)^0.25</f>
        <v>72820.229195942011</v>
      </c>
      <c r="Q10" s="41" t="s">
        <v>394</v>
      </c>
      <c r="S10" t="s">
        <v>713</v>
      </c>
      <c r="T10" s="17">
        <f>SUM(P43,P45)*1000</f>
        <v>32046.194083101163</v>
      </c>
      <c r="U10" s="38" t="s">
        <v>714</v>
      </c>
      <c r="V10" s="38"/>
      <c r="X10" s="244">
        <v>6</v>
      </c>
      <c r="Y10" s="244" t="s">
        <v>727</v>
      </c>
      <c r="Z10" s="244" t="s">
        <v>728</v>
      </c>
      <c r="AA10" s="517">
        <v>0.54400000000000004</v>
      </c>
      <c r="AB10" s="517">
        <v>0.54400000000000004</v>
      </c>
      <c r="AC10" s="244">
        <v>308</v>
      </c>
      <c r="AD10" s="244">
        <v>1337</v>
      </c>
      <c r="AE10" s="518">
        <v>1676</v>
      </c>
      <c r="AF10" s="244" t="s">
        <v>735</v>
      </c>
      <c r="AH10" s="197" t="s">
        <v>312</v>
      </c>
      <c r="AI10" s="215" t="s">
        <v>313</v>
      </c>
      <c r="AJ10" s="216"/>
      <c r="AK10" s="216"/>
      <c r="AL10" s="217"/>
    </row>
    <row r="11" spans="1:38">
      <c r="A11" s="164"/>
      <c r="B11" s="187">
        <v>4</v>
      </c>
      <c r="C11" s="165" t="s">
        <v>337</v>
      </c>
      <c r="D11" s="175">
        <f>IF(B11&gt;0,LOOKUP(B11,X:X,AC:AC),F11)</f>
        <v>790</v>
      </c>
      <c r="E11" s="164" t="s">
        <v>335</v>
      </c>
      <c r="F11" s="521">
        <v>100</v>
      </c>
      <c r="G11" s="522" t="s">
        <v>335</v>
      </c>
      <c r="H11" s="164"/>
      <c r="I11" s="164" t="s">
        <v>1078</v>
      </c>
      <c r="J11" s="164"/>
      <c r="K11" s="164"/>
      <c r="L11" s="164"/>
      <c r="M11" s="164"/>
      <c r="N11" s="164"/>
      <c r="O11" s="164" t="s">
        <v>481</v>
      </c>
      <c r="P11" s="172">
        <f>P17/(PI()*D28)+D21</f>
        <v>2141376391.3598166</v>
      </c>
      <c r="Q11" s="41" t="s">
        <v>394</v>
      </c>
      <c r="S11" s="58" t="s">
        <v>812</v>
      </c>
      <c r="T11" s="47">
        <f>P39*1000/T10</f>
        <v>3.4369974603853767E-6</v>
      </c>
      <c r="U11" s="57" t="s">
        <v>715</v>
      </c>
      <c r="V11" s="57"/>
      <c r="X11" s="244">
        <v>7</v>
      </c>
      <c r="Y11" s="244" t="s">
        <v>149</v>
      </c>
      <c r="Z11" s="244" t="s">
        <v>182</v>
      </c>
      <c r="AA11" s="517">
        <v>1.9699999999999999E-2</v>
      </c>
      <c r="AB11" s="517">
        <v>1.9699999999999999E-2</v>
      </c>
      <c r="AC11" s="244">
        <v>1550</v>
      </c>
      <c r="AD11" s="244">
        <v>120</v>
      </c>
      <c r="AE11" s="244">
        <v>1841</v>
      </c>
      <c r="AF11" s="244"/>
      <c r="AH11" s="198" t="s">
        <v>314</v>
      </c>
      <c r="AI11" s="218" t="s">
        <v>315</v>
      </c>
      <c r="AJ11" s="219"/>
      <c r="AK11" s="219"/>
      <c r="AL11" s="220"/>
    </row>
    <row r="12" spans="1:38">
      <c r="A12" s="164"/>
      <c r="B12" s="164"/>
      <c r="C12" s="171" t="s">
        <v>334</v>
      </c>
      <c r="D12" s="164">
        <f>D11/1000</f>
        <v>0.79</v>
      </c>
      <c r="E12" s="170" t="s">
        <v>338</v>
      </c>
      <c r="F12" s="523"/>
      <c r="G12" s="522"/>
      <c r="H12" s="164"/>
      <c r="I12" s="164"/>
      <c r="J12" s="596" t="str">
        <f>IF(B11&gt;0,("Temp Range  "&amp;LOOKUP(B11,X:X,AD:AD)&amp;"K--"&amp;LOOKUP('CW Laser'!B11,X:X,AE:AE)&amp;"K"),"")</f>
        <v>Temp Range  165K--2191K</v>
      </c>
      <c r="K12" s="596"/>
      <c r="L12" s="164"/>
      <c r="M12" s="164"/>
      <c r="N12" s="164"/>
      <c r="O12" s="164" t="s">
        <v>627</v>
      </c>
      <c r="P12" s="186">
        <v>10000</v>
      </c>
      <c r="Q12" s="41" t="s">
        <v>394</v>
      </c>
      <c r="S12" s="38"/>
      <c r="T12" s="47">
        <f>P32*1000/T10</f>
        <v>0.99999656300253958</v>
      </c>
      <c r="U12" s="57" t="s">
        <v>716</v>
      </c>
      <c r="V12" s="57"/>
      <c r="X12" s="244">
        <v>8</v>
      </c>
      <c r="Y12" s="244" t="s">
        <v>149</v>
      </c>
      <c r="Z12" s="244" t="s">
        <v>184</v>
      </c>
      <c r="AA12" s="517">
        <v>4.7499999999999999E-3</v>
      </c>
      <c r="AB12" s="517">
        <v>4.7499999999999999E-3</v>
      </c>
      <c r="AC12" s="244">
        <v>1990</v>
      </c>
      <c r="AD12" s="244">
        <v>120</v>
      </c>
      <c r="AE12" s="244">
        <v>1727</v>
      </c>
      <c r="AF12" s="244"/>
      <c r="AH12" s="199" t="s">
        <v>316</v>
      </c>
      <c r="AI12" s="221" t="s">
        <v>317</v>
      </c>
      <c r="AJ12" s="222"/>
      <c r="AK12" s="222"/>
      <c r="AL12" s="223"/>
    </row>
    <row r="13" spans="1:38">
      <c r="A13" s="164"/>
      <c r="B13" s="164"/>
      <c r="C13" s="165" t="s">
        <v>336</v>
      </c>
      <c r="D13" s="174">
        <f>(299792458/(D11*1000))</f>
        <v>379.48412405063289</v>
      </c>
      <c r="E13" s="164" t="s">
        <v>333</v>
      </c>
      <c r="F13" s="524" t="s">
        <v>1079</v>
      </c>
      <c r="G13" s="522"/>
      <c r="H13" s="164"/>
      <c r="I13" s="164" t="s">
        <v>1083</v>
      </c>
      <c r="J13" s="164"/>
      <c r="K13" s="164"/>
      <c r="L13" s="164"/>
      <c r="M13" s="164"/>
      <c r="N13" s="164"/>
      <c r="O13" s="164"/>
      <c r="P13" s="164"/>
      <c r="Q13" s="38"/>
      <c r="S13" s="38"/>
      <c r="T13" s="47">
        <f>P45*1000/T10</f>
        <v>0</v>
      </c>
      <c r="U13" s="57" t="s">
        <v>717</v>
      </c>
      <c r="V13" s="57"/>
      <c r="X13" s="244">
        <v>9</v>
      </c>
      <c r="Y13" s="244" t="s">
        <v>149</v>
      </c>
      <c r="Z13" s="244" t="s">
        <v>729</v>
      </c>
      <c r="AA13" s="517">
        <v>7.28E-3</v>
      </c>
      <c r="AB13" s="517">
        <v>7.28E-3</v>
      </c>
      <c r="AC13" s="244">
        <v>2010</v>
      </c>
      <c r="AD13" s="244">
        <v>120</v>
      </c>
      <c r="AE13" s="244">
        <v>2131</v>
      </c>
      <c r="AF13" s="244"/>
      <c r="AH13" s="200" t="s">
        <v>318</v>
      </c>
      <c r="AI13" s="224" t="s">
        <v>319</v>
      </c>
      <c r="AJ13" s="225"/>
      <c r="AK13" s="225"/>
      <c r="AL13" s="226"/>
    </row>
    <row r="14" spans="1:38" ht="14.65" thickBot="1">
      <c r="A14" s="164"/>
      <c r="B14" s="164"/>
      <c r="C14" s="164" t="s">
        <v>742</v>
      </c>
      <c r="D14" s="181">
        <f>IF(B11&gt;0,LOOKUP(B11,X:X,AB:AB),F14)</f>
        <v>3.9300000000000002E-2</v>
      </c>
      <c r="E14" s="164"/>
      <c r="F14" s="525">
        <v>0.44</v>
      </c>
      <c r="G14" s="526"/>
      <c r="H14" s="168" t="s">
        <v>741</v>
      </c>
      <c r="I14" s="184">
        <v>1</v>
      </c>
      <c r="J14" s="164" t="str">
        <f>LOOKUP(I14,Thermal!A:A,Thermal!B:B)</f>
        <v>Marangoni Flow</v>
      </c>
      <c r="K14" s="171" t="str">
        <f>IF(AND(LOOKUP(B11,X:X,AD:AD)&lt;LOOKUP(I14,Thermal!A:A,Thermal!C:C),LOOKUP(I14,Thermal!A:A,Thermal!C:C)&lt;LOOKUP('CW Laser'!B11,X:X,AE:AE)),ROUND(LOOKUP(I14,Thermal!A:A,Thermal!C:C),1)&amp;"K","Not Compat")</f>
        <v>1570.3K</v>
      </c>
      <c r="L14" s="164"/>
      <c r="M14" s="164"/>
      <c r="N14" s="164"/>
      <c r="O14" s="164" t="s">
        <v>710</v>
      </c>
      <c r="P14" s="164"/>
      <c r="Q14" s="38"/>
      <c r="R14" s="38"/>
      <c r="S14" s="38"/>
      <c r="X14" s="244">
        <v>10</v>
      </c>
      <c r="Y14" s="244" t="s">
        <v>726</v>
      </c>
      <c r="Z14" s="244" t="s">
        <v>183</v>
      </c>
      <c r="AA14" s="244"/>
      <c r="AB14" s="244"/>
      <c r="AC14" s="244"/>
      <c r="AD14" s="244"/>
      <c r="AE14" s="244">
        <v>1042</v>
      </c>
      <c r="AF14" s="244"/>
      <c r="AH14" s="193" t="s">
        <v>320</v>
      </c>
      <c r="AI14" s="227" t="s">
        <v>321</v>
      </c>
      <c r="AJ14" s="228"/>
      <c r="AK14" s="228"/>
      <c r="AL14" s="229"/>
    </row>
    <row r="15" spans="1:38" ht="14.65" thickTop="1">
      <c r="A15" s="164"/>
      <c r="B15" s="164"/>
      <c r="C15" s="164" t="s">
        <v>388</v>
      </c>
      <c r="D15" s="166">
        <f>D9^2</f>
        <v>2.8899999999999997</v>
      </c>
      <c r="E15" s="164"/>
      <c r="F15" s="164"/>
      <c r="G15" s="164"/>
      <c r="H15" s="164"/>
      <c r="I15" s="164" t="s">
        <v>1084</v>
      </c>
      <c r="J15" s="164"/>
      <c r="K15" s="164"/>
      <c r="L15" s="164"/>
      <c r="M15" s="164"/>
      <c r="N15" s="164"/>
      <c r="O15" s="182" t="s">
        <v>343</v>
      </c>
      <c r="P15" s="183">
        <f>$D$16</f>
        <v>1965000</v>
      </c>
      <c r="Q15" s="59" t="s">
        <v>344</v>
      </c>
      <c r="R15" s="59"/>
      <c r="S15" s="39" t="s">
        <v>1077</v>
      </c>
      <c r="T15" s="16">
        <f>D8-D16</f>
        <v>48035000</v>
      </c>
      <c r="U15" t="s">
        <v>344</v>
      </c>
      <c r="X15" s="244">
        <v>11</v>
      </c>
      <c r="Y15" s="244" t="s">
        <v>730</v>
      </c>
      <c r="Z15" s="244" t="s">
        <v>731</v>
      </c>
      <c r="AA15" s="517">
        <v>0.41899999999999998</v>
      </c>
      <c r="AB15" s="517">
        <v>0.41899999999999998</v>
      </c>
      <c r="AC15" s="244">
        <v>750</v>
      </c>
      <c r="AD15" s="244">
        <v>1734</v>
      </c>
      <c r="AE15" s="244">
        <v>1950</v>
      </c>
      <c r="AF15" s="244"/>
      <c r="AH15" s="193" t="s">
        <v>322</v>
      </c>
      <c r="AI15" s="556" t="s">
        <v>323</v>
      </c>
      <c r="AJ15" s="557"/>
      <c r="AK15" s="557"/>
      <c r="AL15" s="558"/>
    </row>
    <row r="16" spans="1:38">
      <c r="A16" s="164"/>
      <c r="B16" s="164"/>
      <c r="C16" s="165" t="s">
        <v>738</v>
      </c>
      <c r="D16" s="172">
        <f>D8*D14</f>
        <v>1965000</v>
      </c>
      <c r="E16" s="164" t="s">
        <v>344</v>
      </c>
      <c r="F16" s="164"/>
      <c r="G16" s="164"/>
      <c r="H16" s="164"/>
      <c r="I16" s="190" t="s">
        <v>1109</v>
      </c>
      <c r="J16" s="164"/>
      <c r="K16" s="164"/>
      <c r="L16" s="164"/>
      <c r="M16" s="164"/>
      <c r="N16" s="164"/>
      <c r="O16" s="182" t="s">
        <v>429</v>
      </c>
      <c r="P16" s="183">
        <f>PI()*(P8*SQRT((1.22*$D$11*$D$9*0.000000001)^2+(4*$K$9*$K$8)^2)/(4*$K$8))^2</f>
        <v>1.2324557342078155E-6</v>
      </c>
      <c r="Q16" s="59" t="s">
        <v>667</v>
      </c>
      <c r="R16" s="59"/>
      <c r="S16" s="149" t="s">
        <v>1080</v>
      </c>
      <c r="T16" s="150">
        <f>T15/1000/LOOKUP(I14,Thermal!A:A,Thermal!E:E)</f>
        <v>163.91960141960161</v>
      </c>
      <c r="U16" s="60" t="s">
        <v>1082</v>
      </c>
      <c r="X16" s="244">
        <v>12</v>
      </c>
      <c r="Y16" s="244" t="s">
        <v>730</v>
      </c>
      <c r="Z16" s="244" t="s">
        <v>181</v>
      </c>
      <c r="AA16" s="517">
        <v>0.44400000000000001</v>
      </c>
      <c r="AB16" s="517">
        <v>0.44400000000000001</v>
      </c>
      <c r="AC16" s="244">
        <v>694</v>
      </c>
      <c r="AD16" s="244">
        <v>1734</v>
      </c>
      <c r="AE16" s="244">
        <v>2191</v>
      </c>
      <c r="AF16" s="244"/>
      <c r="AH16" s="193" t="s">
        <v>324</v>
      </c>
      <c r="AI16" s="556" t="s">
        <v>325</v>
      </c>
      <c r="AJ16" s="557"/>
      <c r="AK16" s="557"/>
      <c r="AL16" s="558"/>
    </row>
    <row r="17" spans="2:38">
      <c r="B17" s="164"/>
      <c r="C17" s="164"/>
      <c r="D17" s="164"/>
      <c r="E17" s="164"/>
      <c r="F17" s="164"/>
      <c r="G17" s="164"/>
      <c r="H17" s="164" t="s">
        <v>741</v>
      </c>
      <c r="I17" s="184">
        <v>2</v>
      </c>
      <c r="J17" s="169" t="str">
        <f>LOOKUP(I17,Thermal!H:H,Thermal!I:I)</f>
        <v>Liquid Water</v>
      </c>
      <c r="K17" s="164"/>
      <c r="L17" s="164"/>
      <c r="M17" s="164"/>
      <c r="N17" s="164"/>
      <c r="O17" s="182" t="s">
        <v>694</v>
      </c>
      <c r="P17" s="183">
        <f>P15/P16</f>
        <v>1594377749609.8401</v>
      </c>
      <c r="Q17" s="59" t="s">
        <v>680</v>
      </c>
      <c r="R17" s="59"/>
      <c r="S17" s="39"/>
      <c r="T17" s="151">
        <f>T16*LOOKUP(I14,Thermal!$A:$A,Thermal!$D:$D)</f>
        <v>3999.6382746382787</v>
      </c>
      <c r="U17" s="39" t="s">
        <v>1</v>
      </c>
      <c r="X17" s="244">
        <v>13</v>
      </c>
      <c r="Y17" s="244" t="s">
        <v>149</v>
      </c>
      <c r="Z17" s="244" t="s">
        <v>732</v>
      </c>
      <c r="AA17" s="517">
        <v>4.6299999999999996E-3</v>
      </c>
      <c r="AB17" s="517">
        <v>4.6299999999999996E-3</v>
      </c>
      <c r="AC17" s="244">
        <v>2100</v>
      </c>
      <c r="AD17" s="244">
        <v>120</v>
      </c>
      <c r="AE17" s="244">
        <v>2131</v>
      </c>
      <c r="AF17" s="244"/>
      <c r="AH17" s="193" t="s">
        <v>326</v>
      </c>
      <c r="AI17" s="556" t="s">
        <v>327</v>
      </c>
      <c r="AJ17" s="557"/>
      <c r="AK17" s="557"/>
      <c r="AL17" s="558"/>
    </row>
    <row r="18" spans="2:38">
      <c r="B18" s="38" t="s">
        <v>718</v>
      </c>
      <c r="C18" s="3"/>
      <c r="D18" s="38"/>
      <c r="E18" s="38"/>
      <c r="F18" s="38"/>
      <c r="G18" s="38"/>
      <c r="H18" s="38"/>
      <c r="I18" s="38"/>
      <c r="K18" s="154"/>
      <c r="N18" s="38"/>
      <c r="O18" s="59" t="s">
        <v>358</v>
      </c>
      <c r="P18" s="46">
        <f>solve_for_t(P17,D32,D31,D21,D33,D22,D25,D26,J26,J30,D34,H22,D30,P16,D29,H21,P12)</f>
        <v>8341.5584730551745</v>
      </c>
      <c r="Q18" s="59" t="s">
        <v>394</v>
      </c>
      <c r="R18" s="59"/>
      <c r="S18" s="149" t="s">
        <v>1106</v>
      </c>
      <c r="T18" s="150">
        <f>T15/(LOOKUP(I17,Thermal!H:H,Thermal!M:M)*1000)</f>
        <v>2.1327406798411802E-2</v>
      </c>
      <c r="U18" s="39" t="s">
        <v>1097</v>
      </c>
      <c r="X18" s="244">
        <v>14</v>
      </c>
      <c r="Y18" s="244"/>
      <c r="Z18" s="244"/>
      <c r="AA18" s="244"/>
      <c r="AB18" s="244"/>
      <c r="AC18" s="244"/>
      <c r="AD18" s="244"/>
      <c r="AE18" s="244"/>
      <c r="AF18" s="244"/>
      <c r="AH18" s="201" t="s">
        <v>328</v>
      </c>
      <c r="AI18" s="230" t="s">
        <v>329</v>
      </c>
      <c r="AJ18" s="231"/>
      <c r="AK18" s="231"/>
      <c r="AL18" s="232"/>
    </row>
    <row r="19" spans="2:38" ht="14.65" thickBot="1">
      <c r="B19" s="38" t="s">
        <v>637</v>
      </c>
      <c r="C19" s="38"/>
      <c r="D19" s="38"/>
      <c r="E19" s="38"/>
      <c r="F19" s="38"/>
      <c r="G19" s="38"/>
      <c r="K19" s="154"/>
      <c r="N19" s="38"/>
      <c r="O19" s="59" t="s">
        <v>686</v>
      </c>
      <c r="P19" s="61">
        <f>P18*(SQRT(1+P30^2)-P30)^2</f>
        <v>5581.4739985204396</v>
      </c>
      <c r="Q19" s="59" t="s">
        <v>394</v>
      </c>
      <c r="R19" s="44"/>
      <c r="T19" s="1">
        <f>T15/(LOOKUP(I17,Thermal!H:H,Thermal!L:L)*1000)</f>
        <v>21.289017466174659</v>
      </c>
      <c r="U19" s="39" t="s">
        <v>790</v>
      </c>
      <c r="X19" s="244">
        <v>15</v>
      </c>
      <c r="Y19" s="244"/>
      <c r="Z19" s="244"/>
      <c r="AA19" s="244"/>
      <c r="AB19" s="244"/>
      <c r="AC19" s="244"/>
      <c r="AD19" s="244"/>
      <c r="AE19" s="244"/>
      <c r="AF19" s="244"/>
      <c r="AH19" s="202" t="s">
        <v>330</v>
      </c>
      <c r="AI19" s="233" t="s">
        <v>331</v>
      </c>
      <c r="AJ19" s="234"/>
      <c r="AK19" s="234"/>
      <c r="AL19" s="235"/>
    </row>
    <row r="20" spans="2:38">
      <c r="B20" s="38"/>
      <c r="C20" s="3" t="s">
        <v>3</v>
      </c>
      <c r="D20" s="70">
        <v>43</v>
      </c>
      <c r="E20" s="38" t="s">
        <v>345</v>
      </c>
      <c r="F20" s="38"/>
      <c r="G20" s="38"/>
      <c r="J20" s="38"/>
      <c r="K20" s="5"/>
      <c r="N20" s="38"/>
      <c r="O20" s="59" t="s">
        <v>379</v>
      </c>
      <c r="P20" s="60">
        <f>100000*EXP($J$30*$D$34*(1/$D$32-1/P18)/8.314472)</f>
        <v>426288700.35075599</v>
      </c>
      <c r="Q20" s="59" t="s">
        <v>575</v>
      </c>
      <c r="R20" s="44"/>
    </row>
    <row r="21" spans="2:38">
      <c r="B21" s="38"/>
      <c r="C21" s="38" t="s">
        <v>393</v>
      </c>
      <c r="D21" s="70">
        <v>20</v>
      </c>
      <c r="E21" s="38" t="s">
        <v>394</v>
      </c>
      <c r="F21" s="38"/>
      <c r="G21" s="13" t="s">
        <v>711</v>
      </c>
      <c r="H21" s="70">
        <v>0.8</v>
      </c>
      <c r="J21" s="528" t="s">
        <v>2204</v>
      </c>
      <c r="N21" s="38"/>
      <c r="O21" s="59" t="s">
        <v>695</v>
      </c>
      <c r="P21" s="60">
        <f>P28*8.314*P19/$D$34</f>
        <v>87894260.830908209</v>
      </c>
      <c r="Q21" s="59" t="s">
        <v>575</v>
      </c>
      <c r="R21" s="44"/>
      <c r="S21" t="s">
        <v>1100</v>
      </c>
      <c r="T21" s="1">
        <f>T17/T19</f>
        <v>187.87331453850126</v>
      </c>
      <c r="U21" t="s">
        <v>988</v>
      </c>
    </row>
    <row r="22" spans="2:38">
      <c r="B22" s="38"/>
      <c r="C22" s="38" t="s">
        <v>688</v>
      </c>
      <c r="D22" s="72">
        <v>10</v>
      </c>
      <c r="E22" s="38" t="s">
        <v>575</v>
      </c>
      <c r="F22" s="38"/>
      <c r="G22" s="35" t="s">
        <v>683</v>
      </c>
      <c r="H22" s="72">
        <v>1.6666666666666667</v>
      </c>
      <c r="I22" s="38"/>
      <c r="J22" s="528">
        <f>LOOKUP(D20,Materials[[#All],[Refe-rence]],Materials[[#All],[Gas Phase Adibatic Index]])</f>
        <v>0</v>
      </c>
      <c r="N22" s="38"/>
      <c r="O22" s="59" t="s">
        <v>701</v>
      </c>
      <c r="P22" s="60">
        <f>4*D37/P16</f>
        <v>0</v>
      </c>
      <c r="Q22" s="59" t="s">
        <v>575</v>
      </c>
      <c r="R22" s="44"/>
      <c r="S22" s="148" t="s">
        <v>1102</v>
      </c>
      <c r="T22" t="s">
        <v>1101</v>
      </c>
      <c r="U22" t="s">
        <v>2202</v>
      </c>
    </row>
    <row r="23" spans="2:38" ht="13.9" customHeight="1">
      <c r="B23" s="38"/>
      <c r="F23" s="38"/>
      <c r="G23" s="38"/>
      <c r="N23" s="38"/>
      <c r="O23" s="59" t="s">
        <v>682</v>
      </c>
      <c r="P23" s="62">
        <f>solve_for_mach(P18,D32,D21,D22,D25,J30,D34,H22)</f>
        <v>1</v>
      </c>
      <c r="Q23" s="59" t="s">
        <v>693</v>
      </c>
      <c r="R23" s="44"/>
    </row>
    <row r="24" spans="2:38">
      <c r="B24" s="15" t="s">
        <v>346</v>
      </c>
      <c r="C24" s="596" t="str">
        <f>LOOKUP(D20,Material!A:A,Material!B:B)</f>
        <v>Aluminum</v>
      </c>
      <c r="D24" s="596"/>
      <c r="E24" s="596" t="str">
        <f>LOOKUP(D20,Materials[[#All],[Refe-rence]],Materials[[#All],[Classifi-cation]])</f>
        <v>Metals</v>
      </c>
      <c r="F24" s="596"/>
      <c r="G24" s="38"/>
      <c r="N24" s="38"/>
      <c r="O24" s="44" t="s">
        <v>684</v>
      </c>
      <c r="P24" s="45">
        <f>SQRT($H$22*8.314472*P19/$D$34)</f>
        <v>1693.1490553730173</v>
      </c>
      <c r="Q24" s="59"/>
      <c r="R24" s="59"/>
    </row>
    <row r="25" spans="2:38">
      <c r="B25" s="38"/>
      <c r="C25" s="13" t="s">
        <v>347</v>
      </c>
      <c r="D25" s="5">
        <f>LOOKUP(D20,Materials[[#All],[Refe-rence]],Materials[[#All],[Density (kg/m3)]])</f>
        <v>2700</v>
      </c>
      <c r="E25" s="38" t="s">
        <v>348</v>
      </c>
      <c r="F25" s="38"/>
      <c r="G25" s="38"/>
      <c r="H25" s="15" t="s">
        <v>640</v>
      </c>
      <c r="I25" s="38" t="s">
        <v>636</v>
      </c>
      <c r="J25" s="28">
        <f>IF(ISBLANK(LOOKUP(D20,Materials[Refe-rence],Materials[Enthalpy Change of Fusion (J/mol)])),(D30*D34/1000)*D31/3,LOOKUP(D20,Materials[Refe-rence],Materials[Enthalpy Change of Fusion (J/mol)]))</f>
        <v>10710</v>
      </c>
      <c r="K25" s="29" t="s">
        <v>396</v>
      </c>
      <c r="L25" s="38"/>
      <c r="N25" s="38"/>
      <c r="O25" s="44" t="s">
        <v>685</v>
      </c>
      <c r="P25" s="45">
        <f>SQRT(1.4*8.314472*$D$21/0.0288)</f>
        <v>89.908366932363109</v>
      </c>
      <c r="Q25" s="59"/>
      <c r="R25" s="59"/>
    </row>
    <row r="26" spans="2:38">
      <c r="C26" s="13" t="s">
        <v>698</v>
      </c>
      <c r="D26" s="5">
        <f>LOOKUP(D20,Materials[[#All],[Refe-rence]],Materials[[#All],[Melted Density (kg/m3)]])</f>
        <v>2375</v>
      </c>
      <c r="E26" s="38" t="s">
        <v>348</v>
      </c>
      <c r="F26" s="48" t="str">
        <f>IF(D26=0,"Direct Sublimation","")</f>
        <v/>
      </c>
      <c r="G26" s="38"/>
      <c r="H26" s="15"/>
      <c r="I26" s="38"/>
      <c r="J26" s="5">
        <f>(J25/D34)</f>
        <v>396960.71163825056</v>
      </c>
      <c r="K26" s="38" t="s">
        <v>662</v>
      </c>
      <c r="L26" s="38"/>
      <c r="N26" s="38"/>
      <c r="O26" s="44" t="s">
        <v>687</v>
      </c>
      <c r="P26" s="45">
        <f>(($H$22+1)/4)*P23*(P24/P25)</f>
        <v>12.554627288075435</v>
      </c>
      <c r="Q26" s="59"/>
      <c r="R26" s="59"/>
    </row>
    <row r="27" spans="2:38">
      <c r="B27" s="38"/>
      <c r="C27" s="13" t="s">
        <v>642</v>
      </c>
      <c r="D27" s="16">
        <f>LOOKUP(D20,Materials[[#All],[Refe-rence]],Materials[[#All],[ThermalExpansion(K^-1)]])</f>
        <v>2.3099999999999999E-5</v>
      </c>
      <c r="E27" s="38" t="s">
        <v>643</v>
      </c>
      <c r="F27" s="38"/>
      <c r="G27" s="38"/>
      <c r="H27" s="15"/>
      <c r="I27" s="48" t="str">
        <f>IF(ISBLANK(LOOKUP(D20,Materials[[#All],[Refe-rence]],Materials[[#All],[Enthalpy Change of Fusion (J/mol)]])),"!Will use Pictet model if data is not provided"," ")</f>
        <v xml:space="preserve"> </v>
      </c>
      <c r="J27" s="38"/>
      <c r="K27" s="38"/>
      <c r="L27" s="38"/>
      <c r="N27" s="38"/>
      <c r="O27" s="59" t="s">
        <v>689</v>
      </c>
      <c r="P27" s="63">
        <f>P20*$D$34/(8.314*P18)</f>
        <v>165.8397168655512</v>
      </c>
      <c r="Q27" s="59" t="s">
        <v>348</v>
      </c>
      <c r="R27" s="59"/>
    </row>
    <row r="28" spans="2:38">
      <c r="B28" s="38"/>
      <c r="C28" s="20" t="s">
        <v>389</v>
      </c>
      <c r="D28" s="16">
        <f>LOOKUP(D20,Materials[[#All],[Refe-rence]],Materials[[#All],[Thermal Conduct-ivity (W/mK)]])</f>
        <v>237</v>
      </c>
      <c r="E28" s="38" t="s">
        <v>390</v>
      </c>
      <c r="F28" s="38"/>
      <c r="G28" s="38"/>
      <c r="H28" s="15"/>
      <c r="I28" s="38"/>
      <c r="J28" s="38"/>
      <c r="K28" s="38"/>
      <c r="L28" s="38"/>
      <c r="N28" s="38"/>
      <c r="O28" s="59" t="s">
        <v>691</v>
      </c>
      <c r="P28" s="62">
        <f>P27*(SQRT(P18/P19)*((P29^2+0.5)*EXP(P29^2)*ERFC(P29)-P29/SQRT(PI()))+0.5*(P18/P19)*(1-SQRT(PI())*P29*EXP(P29^2)*ERFC(P29)))</f>
        <v>51.102663622284702</v>
      </c>
      <c r="Q28" s="59" t="s">
        <v>348</v>
      </c>
      <c r="R28" s="59"/>
    </row>
    <row r="29" spans="2:38">
      <c r="B29" s="38"/>
      <c r="C29" s="20" t="s">
        <v>663</v>
      </c>
      <c r="D29" s="16">
        <f>D28/(D25*D30)</f>
        <v>9.7530864197530861E-5</v>
      </c>
      <c r="E29" s="38" t="s">
        <v>664</v>
      </c>
      <c r="F29" s="38"/>
      <c r="G29" s="38"/>
      <c r="H29" s="15" t="s">
        <v>634</v>
      </c>
      <c r="I29" s="38" t="s">
        <v>635</v>
      </c>
      <c r="J29" s="28">
        <f>IF(ISBLANK(LOOKUP(D20,Materials[Refe-rence],Materials[Enthalpy Change of Vaporization (J/mol)])),(4.5*8.314462+8.314462*LN((LOOKUP(D20,Materials[[#All],[Refe-rence]],Materials[[#All],[Boiling Point (K)]]))))*(LOOKUP(D20,Materials[[#All],[Refe-rence]],Materials[[#All],[Boiling Point (K)]])),LOOKUP(D20,Materials[Refe-rence],Materials[Enthalpy Change of Vaporization (J/mol)]))</f>
        <v>284000</v>
      </c>
      <c r="K29" s="29" t="s">
        <v>396</v>
      </c>
      <c r="L29" s="38"/>
      <c r="N29" s="38"/>
      <c r="O29" s="44" t="s">
        <v>2</v>
      </c>
      <c r="P29" s="68">
        <f>P23*SQRT($H$22/2)</f>
        <v>0.9128709291752769</v>
      </c>
      <c r="Q29" s="59"/>
      <c r="R29" s="59"/>
    </row>
    <row r="30" spans="2:38">
      <c r="B30" s="38"/>
      <c r="C30" s="38" t="s">
        <v>391</v>
      </c>
      <c r="D30" s="38">
        <f>LOOKUP(D20,Materials[[#All],[Refe-rence]],Materials[[#All],[Specific Heat (J/kgK)]])</f>
        <v>900</v>
      </c>
      <c r="E30" s="38" t="s">
        <v>392</v>
      </c>
      <c r="F30" s="38"/>
      <c r="G30" s="38"/>
      <c r="H30" s="38"/>
      <c r="I30" s="38"/>
      <c r="J30" s="5">
        <f>(J29/D34)</f>
        <v>10526315.789473685</v>
      </c>
      <c r="K30" s="38" t="s">
        <v>662</v>
      </c>
      <c r="L30" s="38"/>
      <c r="N30" s="38"/>
      <c r="O30" s="44" t="s">
        <v>690</v>
      </c>
      <c r="P30" s="69">
        <f>SQRT(PI())*(P29/2)*(($H$22-1)/($H$22+1))</f>
        <v>0.202252699224552</v>
      </c>
      <c r="Q30" s="59"/>
      <c r="R30" s="59"/>
    </row>
    <row r="31" spans="2:38">
      <c r="B31" s="38"/>
      <c r="C31" s="38" t="s">
        <v>679</v>
      </c>
      <c r="D31" s="5">
        <f>LOOKUP(D20,Materials[[#All],[Refe-rence]],Materials[[#All],[Melting Point(K)]])</f>
        <v>933.47</v>
      </c>
      <c r="E31" s="38" t="s">
        <v>394</v>
      </c>
      <c r="F31" s="38"/>
      <c r="G31" s="38"/>
      <c r="H31" s="38"/>
      <c r="I31" s="49" t="str">
        <f>IF(ISBLANK(LOOKUP(D20,Materials[[#All],[Refe-rence]],Materials[[#All],[Enthalpy Change of Vaporization (J/mol)]])),"!Will use Trouton's law if data is unavailable","")</f>
        <v/>
      </c>
      <c r="J31" s="38"/>
      <c r="K31" s="38"/>
      <c r="L31" s="38"/>
      <c r="N31" s="38"/>
      <c r="O31" s="59" t="s">
        <v>696</v>
      </c>
      <c r="P31" s="60">
        <f>P24*P23</f>
        <v>1693.1490553730173</v>
      </c>
      <c r="Q31" s="59" t="s">
        <v>16</v>
      </c>
      <c r="R31" s="59"/>
    </row>
    <row r="32" spans="2:38">
      <c r="B32" s="38"/>
      <c r="C32" s="38" t="s">
        <v>638</v>
      </c>
      <c r="D32" s="5">
        <f>MAX(LOOKUP(D20,Materials[[#All],[Refe-rence]],Materials[[#All],[Boiling Point (K)]]),D31)</f>
        <v>2743</v>
      </c>
      <c r="E32" s="38" t="s">
        <v>394</v>
      </c>
      <c r="F32" s="38"/>
      <c r="G32" s="38"/>
      <c r="H32" s="38"/>
      <c r="I32" s="38"/>
      <c r="J32" s="38"/>
      <c r="K32" s="38"/>
      <c r="L32" s="38"/>
      <c r="N32" s="38"/>
      <c r="O32" s="59" t="s">
        <v>697</v>
      </c>
      <c r="P32" s="60">
        <f>P31*P28/$D$25</f>
        <v>32.046083940413482</v>
      </c>
      <c r="Q32" s="59" t="s">
        <v>16</v>
      </c>
      <c r="R32" s="59"/>
    </row>
    <row r="33" spans="1:21">
      <c r="B33" s="38"/>
      <c r="C33" s="38" t="s">
        <v>481</v>
      </c>
      <c r="D33" s="5">
        <f>LOOKUP(D20,Materials[[#All],[Refe-rence]],Materials[[#All],[Critical Point(K)]])</f>
        <v>7850</v>
      </c>
      <c r="E33" s="38" t="s">
        <v>394</v>
      </c>
      <c r="F33" s="38"/>
      <c r="G33" s="38"/>
      <c r="H33" s="38"/>
      <c r="I33" s="38" t="s">
        <v>609</v>
      </c>
      <c r="J33" s="28">
        <f>J29+J25</f>
        <v>294710</v>
      </c>
      <c r="K33" s="29" t="s">
        <v>396</v>
      </c>
      <c r="L33" s="38"/>
      <c r="O33" s="44" t="s">
        <v>383</v>
      </c>
      <c r="P33" s="45">
        <f>4*(P20-D22-P22)/(3*D25*D36*P16^2)</f>
        <v>1.1313139893709331E+21</v>
      </c>
      <c r="Q33" s="45"/>
      <c r="S33" s="38"/>
      <c r="T33" s="40"/>
      <c r="U33" s="37"/>
    </row>
    <row r="34" spans="1:21">
      <c r="B34" s="38"/>
      <c r="C34" s="38" t="s">
        <v>433</v>
      </c>
      <c r="D34" s="50">
        <f>LOOKUP(D20,Materials[[#All],[Refe-rence]],Materials[[#All],[Molar mass (g/mol)]])/1000</f>
        <v>2.6980000000000001E-2</v>
      </c>
      <c r="E34" s="38" t="s">
        <v>681</v>
      </c>
      <c r="F34" s="38"/>
      <c r="G34" s="38"/>
      <c r="H34" s="38"/>
      <c r="I34" s="4"/>
      <c r="J34" s="5">
        <f>(J33/D34)</f>
        <v>10923276.501111934</v>
      </c>
      <c r="K34" s="38" t="s">
        <v>662</v>
      </c>
      <c r="L34" s="38"/>
      <c r="O34" s="44" t="s">
        <v>372</v>
      </c>
      <c r="P34" s="45">
        <f>P32</f>
        <v>32.046083940413482</v>
      </c>
      <c r="Q34" s="45"/>
      <c r="R34" s="41"/>
      <c r="S34" s="38"/>
      <c r="U34" s="37"/>
    </row>
    <row r="35" spans="1:21">
      <c r="B35" s="38"/>
      <c r="C35" s="38" t="s">
        <v>639</v>
      </c>
      <c r="D35" s="4">
        <f>D34/(D25/1000)</f>
        <v>9.9925925925925928E-3</v>
      </c>
      <c r="E35" s="38" t="s">
        <v>641</v>
      </c>
      <c r="F35" s="38"/>
      <c r="G35" s="38"/>
      <c r="O35" s="44" t="s">
        <v>370</v>
      </c>
      <c r="P35" s="45">
        <f>-D29*LN((P18-D21+J26/D30)/(D31-D21))</f>
        <v>-2.2051731986165665E-4</v>
      </c>
      <c r="Q35" s="44"/>
      <c r="R35" s="41"/>
      <c r="S35" s="38"/>
      <c r="U35" s="37"/>
    </row>
    <row r="36" spans="1:21">
      <c r="B36" s="38"/>
      <c r="C36" s="13" t="s">
        <v>294</v>
      </c>
      <c r="D36" s="16">
        <f>IF(D26&gt;0,6.02E+23*6.626E-34/(D34/D26)*EXP(3.8*D32/P18),0)</f>
        <v>1.2250476066117961E-4</v>
      </c>
      <c r="E36" s="38" t="s">
        <v>699</v>
      </c>
      <c r="F36" s="38"/>
      <c r="G36" s="38"/>
      <c r="O36" s="44" t="s">
        <v>379</v>
      </c>
      <c r="P36" s="45">
        <f>P34/P33</f>
        <v>2.8326427712816224E-20</v>
      </c>
      <c r="Q36" s="67"/>
      <c r="R36" s="41"/>
      <c r="S36" s="38"/>
      <c r="U36" s="37"/>
    </row>
    <row r="37" spans="1:21">
      <c r="B37" s="38"/>
      <c r="C37" s="13" t="s">
        <v>334</v>
      </c>
      <c r="D37" s="4">
        <f>IF(D26&gt;0,MAX(0.00000021*(D33-6-P18)/(D34/D26)^(2/3),0),0)</f>
        <v>0</v>
      </c>
      <c r="E37" s="38" t="s">
        <v>700</v>
      </c>
      <c r="F37" s="38"/>
      <c r="G37" s="38"/>
      <c r="O37" s="44" t="s">
        <v>690</v>
      </c>
      <c r="P37" s="45">
        <f>P35/P33</f>
        <v>-1.9492141168012539E-25</v>
      </c>
      <c r="Q37" s="67"/>
      <c r="R37" s="41"/>
      <c r="S37" s="38"/>
      <c r="U37" s="37"/>
    </row>
    <row r="38" spans="1:21">
      <c r="B38" s="38"/>
      <c r="C38" s="13" t="s">
        <v>360</v>
      </c>
      <c r="D38" s="16">
        <f>LOOKUP(D20,Materials[Refe-rence],Materials[Shear Modulus (Gpa)])*1000000000</f>
        <v>25500000000</v>
      </c>
      <c r="E38" s="38" t="s">
        <v>575</v>
      </c>
      <c r="F38" s="38"/>
      <c r="G38" s="38"/>
      <c r="O38" s="59" t="s">
        <v>702</v>
      </c>
      <c r="P38" s="60">
        <f>IFERROR(IF(D26&gt;0,(-P37/2+SQRT(P37^4+P36^3/27))^(1/3)+(-P37/2-SQRT(P37^2/4+P36^3/27))^(1/3),0),0)</f>
        <v>4.6003496068661024E-9</v>
      </c>
      <c r="Q38" s="60" t="s">
        <v>2</v>
      </c>
      <c r="R38" s="41"/>
      <c r="S38" s="38"/>
      <c r="T38" s="33"/>
      <c r="U38" s="37"/>
    </row>
    <row r="39" spans="1:21">
      <c r="B39" s="38"/>
      <c r="C39" s="13" t="s">
        <v>350</v>
      </c>
      <c r="D39" s="21">
        <f>LOOKUP('CW Laser'!D20,Materials[[#All],[Refe-rence]],Materials[[#All],[Ultimate Tensile Strength (Mpa)]])*1000000</f>
        <v>300000000</v>
      </c>
      <c r="E39" s="38" t="s">
        <v>575</v>
      </c>
      <c r="F39" s="38"/>
      <c r="G39" s="38"/>
      <c r="O39" s="59" t="s">
        <v>703</v>
      </c>
      <c r="P39" s="60">
        <f>IF(D26&gt;0,P33*P38^3,0)</f>
        <v>1.1014268767863558E-4</v>
      </c>
      <c r="Q39" s="60" t="s">
        <v>16</v>
      </c>
      <c r="R39" s="41"/>
      <c r="S39" s="38"/>
      <c r="T39" s="30"/>
      <c r="U39" s="37"/>
    </row>
    <row r="40" spans="1:21">
      <c r="B40" s="38"/>
      <c r="G40" s="38"/>
      <c r="O40" s="59" t="s">
        <v>704</v>
      </c>
      <c r="P40" s="60">
        <f>IF(D26&gt;0,P39*D25*(P18-D31)*D30,0)</f>
        <v>1982750.6632097021</v>
      </c>
      <c r="Q40" s="59" t="s">
        <v>680</v>
      </c>
      <c r="R40" s="41"/>
      <c r="S40" s="38"/>
      <c r="T40" s="16"/>
      <c r="U40" s="37"/>
    </row>
    <row r="41" spans="1:21">
      <c r="B41" s="38"/>
      <c r="E41" s="38"/>
      <c r="F41" s="38"/>
      <c r="G41" s="38"/>
      <c r="O41" s="59" t="s">
        <v>692</v>
      </c>
      <c r="P41" s="60">
        <f>(P20/D22)*(P19/P18)*(P28/$D$25)-1-$H$22*P23*(P24/P25)*(P26+SQRT(1+P26^2))</f>
        <v>539074.81902631291</v>
      </c>
      <c r="Q41" s="59"/>
      <c r="R41" s="41"/>
      <c r="S41" s="38"/>
      <c r="T41" s="16"/>
      <c r="U41" s="37"/>
    </row>
    <row r="42" spans="1:21">
      <c r="A42" s="38"/>
      <c r="B42" s="38"/>
      <c r="C42" s="38"/>
      <c r="D42" s="38"/>
      <c r="E42" s="38"/>
      <c r="F42" s="38"/>
      <c r="G42" s="38"/>
      <c r="O42" s="59" t="s">
        <v>705</v>
      </c>
      <c r="P42" s="60">
        <f>P17-H21*0.0000000567*P18^2-$D$25*P32*($J$26+(P18-$D$21)*$D$30)+$D$25*P32*(P32^2/2-$J$30)+P28*P31*($H$22*8.314*(P18-P19)/$D$34-P31^2/2)-P40</f>
        <v>-95490025.441525489</v>
      </c>
      <c r="Q42" s="60" t="s">
        <v>680</v>
      </c>
      <c r="R42" s="41"/>
      <c r="S42" s="31"/>
      <c r="T42" s="37"/>
      <c r="U42" s="37"/>
    </row>
    <row r="43" spans="1:21">
      <c r="A43" s="38"/>
      <c r="G43" s="38"/>
      <c r="O43" s="59" t="s">
        <v>706</v>
      </c>
      <c r="P43" s="60">
        <f>P39+P32</f>
        <v>32.046194083101163</v>
      </c>
      <c r="Q43" s="60" t="s">
        <v>16</v>
      </c>
      <c r="R43" s="41"/>
      <c r="S43" s="31"/>
      <c r="T43" s="16"/>
      <c r="U43" s="37"/>
    </row>
    <row r="44" spans="1:21">
      <c r="A44" s="38"/>
      <c r="G44" s="38"/>
      <c r="O44" s="59" t="s">
        <v>707</v>
      </c>
      <c r="P44" s="65">
        <f>(2/3)*D39*(1+LN(2*D38/D39))</f>
        <v>1227159687.4100523</v>
      </c>
      <c r="Q44" s="64" t="s">
        <v>575</v>
      </c>
      <c r="R44" s="41"/>
      <c r="S44" s="31"/>
      <c r="T44" s="16"/>
      <c r="U44" s="37"/>
    </row>
    <row r="45" spans="1:21">
      <c r="A45" s="38"/>
      <c r="G45" s="38"/>
      <c r="H45" s="38"/>
      <c r="I45" s="38"/>
      <c r="J45" s="38"/>
      <c r="K45" s="38"/>
      <c r="L45" s="38"/>
      <c r="M45" s="38"/>
      <c r="N45" s="38"/>
      <c r="O45" s="59" t="s">
        <v>708</v>
      </c>
      <c r="P45" s="66">
        <f>IF(P20&gt;P44,SQRT((2*(P20-P44)/D25)),0)</f>
        <v>0</v>
      </c>
      <c r="Q45" s="60" t="s">
        <v>16</v>
      </c>
      <c r="R45" s="41"/>
      <c r="S45" s="31"/>
    </row>
    <row r="46" spans="1:21">
      <c r="A46" s="38"/>
      <c r="G46" s="38"/>
      <c r="H46" s="38"/>
      <c r="I46" s="38"/>
      <c r="J46" s="38"/>
      <c r="K46" s="38"/>
      <c r="L46" s="38"/>
      <c r="M46" s="38"/>
      <c r="N46" s="38"/>
      <c r="O46" s="59" t="s">
        <v>709</v>
      </c>
      <c r="P46" s="60">
        <f>(IF(P45&gt;0,SQRT(P15/(PI()*P44*P45)),0))^2*PI()</f>
        <v>0</v>
      </c>
      <c r="Q46" s="60" t="s">
        <v>667</v>
      </c>
      <c r="S46" s="38"/>
    </row>
    <row r="47" spans="1:21">
      <c r="A47" s="38"/>
      <c r="G47" s="38"/>
      <c r="H47" s="38"/>
      <c r="I47" s="38"/>
      <c r="J47" s="38"/>
      <c r="K47" s="38"/>
      <c r="L47" s="38"/>
      <c r="M47" s="38"/>
      <c r="N47" s="38"/>
      <c r="O47" s="16"/>
      <c r="P47" s="38"/>
      <c r="Q47" s="38"/>
      <c r="S47" s="38"/>
    </row>
    <row r="48" spans="1:21">
      <c r="A48" s="38"/>
      <c r="G48" s="38"/>
      <c r="H48" s="38"/>
      <c r="I48" s="38"/>
      <c r="J48" s="38"/>
      <c r="K48" s="38"/>
      <c r="L48" s="38"/>
      <c r="M48" s="38"/>
      <c r="N48" s="5"/>
      <c r="O48" s="18"/>
      <c r="P48" s="38"/>
      <c r="Q48" s="38"/>
      <c r="S48" s="38"/>
    </row>
    <row r="49" spans="1:19">
      <c r="A49" s="38"/>
      <c r="G49" s="38"/>
      <c r="H49" s="38"/>
      <c r="I49" s="3"/>
      <c r="J49" s="1"/>
      <c r="K49" s="38"/>
      <c r="L49" s="38"/>
      <c r="M49" s="38"/>
      <c r="N49" s="5"/>
      <c r="O49" s="18"/>
      <c r="P49" s="38"/>
      <c r="Q49" s="38"/>
      <c r="S49" s="38"/>
    </row>
    <row r="50" spans="1:19">
      <c r="A50" s="38"/>
      <c r="I50" s="32"/>
      <c r="J50" s="21"/>
      <c r="M50" s="36"/>
      <c r="N50" s="5"/>
      <c r="O50" s="18"/>
    </row>
    <row r="51" spans="1:19">
      <c r="A51" s="38"/>
      <c r="J51" s="1"/>
      <c r="M51" s="36"/>
      <c r="N51" s="5"/>
      <c r="O51" s="18"/>
    </row>
    <row r="66" spans="18:18">
      <c r="R66" s="43"/>
    </row>
  </sheetData>
  <mergeCells count="15">
    <mergeCell ref="X2:X4"/>
    <mergeCell ref="Y2:Y4"/>
    <mergeCell ref="Z2:Z4"/>
    <mergeCell ref="AA2:AA4"/>
    <mergeCell ref="AB2:AB4"/>
    <mergeCell ref="AC2:AC4"/>
    <mergeCell ref="AD2:AD4"/>
    <mergeCell ref="AE2:AE4"/>
    <mergeCell ref="AF2:AF4"/>
    <mergeCell ref="AH2:AL3"/>
    <mergeCell ref="J12:K12"/>
    <mergeCell ref="A2:C2"/>
    <mergeCell ref="C24:D24"/>
    <mergeCell ref="E24:F24"/>
    <mergeCell ref="C10:D10"/>
  </mergeCells>
  <phoneticPr fontId="12" type="noConversion"/>
  <conditionalFormatting sqref="T11:T13">
    <cfRule type="dataBar" priority="3">
      <dataBar>
        <cfvo type="num" val="0"/>
        <cfvo type="num" val="1"/>
        <color rgb="FF638EC6"/>
      </dataBar>
      <extLst>
        <ext xmlns:x14="http://schemas.microsoft.com/office/spreadsheetml/2009/9/main" uri="{B025F937-C7B1-47D3-B67F-A62EFF666E3E}">
          <x14:id>{D942E9B2-2F60-4D40-95B2-B584CA7E98B6}</x14:id>
        </ext>
      </extLst>
    </cfRule>
  </conditionalFormatting>
  <dataValidations count="6">
    <dataValidation type="decimal" operator="greaterThan" allowBlank="1" showInputMessage="1" showErrorMessage="1" sqref="D11 K9 D21:D22 P8 J49 F11 K19" xr:uid="{B9ABC2B2-7AD4-4E32-B716-CE93AE72431F}">
      <formula1>0</formula1>
    </dataValidation>
    <dataValidation type="decimal" operator="greaterThan" allowBlank="1" showInputMessage="1" showErrorMessage="1" sqref="D9" xr:uid="{8E05CED6-9052-4B9A-9D58-85F6E6EBEB69}">
      <formula1>1</formula1>
    </dataValidation>
    <dataValidation type="decimal" operator="greaterThanOrEqual" allowBlank="1" showInputMessage="1" showErrorMessage="1" sqref="D16 P12" xr:uid="{E7BFFAEF-583C-4A16-9197-D5F0AE33EF2A}">
      <formula1>0</formula1>
    </dataValidation>
    <dataValidation type="whole" operator="greaterThanOrEqual" allowBlank="1" showInputMessage="1" showErrorMessage="1" sqref="B11" xr:uid="{911691EC-62DD-48CE-A56E-FD48C838D3A8}">
      <formula1>0</formula1>
    </dataValidation>
    <dataValidation type="decimal" allowBlank="1" showInputMessage="1" showErrorMessage="1" sqref="F14" xr:uid="{BEEEAC03-CE8C-414B-B696-C5B16EC4B4F6}">
      <formula1>0</formula1>
      <formula2>1</formula2>
    </dataValidation>
    <dataValidation type="decimal" operator="greaterThan" allowBlank="1" showInputMessage="1" showErrorMessage="1" sqref="K18" xr:uid="{24D21DC6-31AB-4BDC-AD3D-4AD38E2D7B74}">
      <formula1>K19</formula1>
    </dataValidation>
  </dataValidations>
  <hyperlinks>
    <hyperlink ref="B4" r:id="rId1" xr:uid="{791C3811-C2DF-4083-9F20-B585982614FC}"/>
  </hyperlink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dataBar" id="{D942E9B2-2F60-4D40-95B2-B584CA7E98B6}">
            <x14:dataBar minLength="0" maxLength="100" gradient="0">
              <x14:cfvo type="num">
                <xm:f>0</xm:f>
              </x14:cfvo>
              <x14:cfvo type="num">
                <xm:f>1</xm:f>
              </x14:cfvo>
              <x14:negativeFillColor rgb="FFFF0000"/>
              <x14:axisColor rgb="FF000000"/>
            </x14:dataBar>
          </x14:cfRule>
          <xm:sqref>T11:T13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D9725-70A8-4AD6-9C9A-3F8D3B661BA8}">
  <sheetPr codeName="Sheet2">
    <tabColor theme="7"/>
  </sheetPr>
  <dimension ref="A1:AB122"/>
  <sheetViews>
    <sheetView topLeftCell="A76" workbookViewId="0">
      <selection activeCell="I86" sqref="I86"/>
    </sheetView>
  </sheetViews>
  <sheetFormatPr defaultRowHeight="14.25"/>
  <cols>
    <col min="1" max="1" width="7" customWidth="1"/>
    <col min="3" max="3" width="7.73046875" customWidth="1"/>
    <col min="4" max="4" width="10.73046875" customWidth="1"/>
    <col min="5" max="5" width="8.59765625" customWidth="1"/>
    <col min="6" max="6" width="5" customWidth="1"/>
    <col min="7" max="7" width="9" style="38" customWidth="1"/>
    <col min="8" max="8" width="9.06640625" customWidth="1"/>
    <col min="9" max="9" width="9.33203125" customWidth="1"/>
    <col min="10" max="11" width="7.6640625" customWidth="1"/>
    <col min="12" max="12" width="6" customWidth="1"/>
    <col min="13" max="13" width="7.6640625" customWidth="1"/>
    <col min="14" max="14" width="10.46484375" customWidth="1"/>
    <col min="15" max="15" width="8.86328125" style="1" customWidth="1"/>
    <col min="16" max="16" width="4.73046875" customWidth="1"/>
    <col min="17" max="17" width="3.796875" customWidth="1"/>
    <col min="18" max="18" width="3.1328125" customWidth="1"/>
    <col min="19" max="19" width="13" customWidth="1"/>
    <col min="20" max="20" width="9.265625" customWidth="1"/>
    <col min="21" max="21" width="7.33203125" customWidth="1"/>
    <col min="22" max="22" width="7.86328125" customWidth="1"/>
    <col min="23" max="23" width="11.86328125" customWidth="1"/>
    <col min="25" max="25" width="10.59765625" customWidth="1"/>
  </cols>
  <sheetData>
    <row r="1" spans="1:24" s="38" customFormat="1" ht="14.25" customHeight="1">
      <c r="A1" s="756" t="s">
        <v>1131</v>
      </c>
      <c r="B1" s="756"/>
      <c r="C1" s="756"/>
      <c r="D1" s="756"/>
      <c r="E1" s="756"/>
      <c r="O1" s="1"/>
    </row>
    <row r="2" spans="1:24" s="38" customFormat="1" ht="14.25" customHeight="1">
      <c r="A2" s="756"/>
      <c r="B2" s="756"/>
      <c r="C2" s="756"/>
      <c r="D2" s="756"/>
      <c r="E2" s="756"/>
      <c r="O2" s="1"/>
    </row>
    <row r="3" spans="1:24" s="38" customFormat="1">
      <c r="F3" s="38" t="s">
        <v>927</v>
      </c>
      <c r="O3" s="1"/>
      <c r="T3" s="755" t="s">
        <v>291</v>
      </c>
      <c r="U3" s="755"/>
      <c r="V3" s="74"/>
      <c r="W3" s="74"/>
      <c r="X3" s="74"/>
    </row>
    <row r="4" spans="1:24" s="38" customFormat="1" ht="14.25" customHeight="1">
      <c r="B4" s="616" t="s">
        <v>932</v>
      </c>
      <c r="C4" s="616"/>
      <c r="D4" s="616"/>
      <c r="O4" s="1"/>
      <c r="T4" s="74"/>
      <c r="U4" s="102">
        <f>D14</f>
        <v>90</v>
      </c>
      <c r="V4" s="103" t="s">
        <v>6</v>
      </c>
      <c r="W4" s="74">
        <f>I12</f>
        <v>181</v>
      </c>
      <c r="X4" s="74"/>
    </row>
    <row r="5" spans="1:24" s="38" customFormat="1">
      <c r="B5" s="616"/>
      <c r="C5" s="616"/>
      <c r="D5" s="616"/>
      <c r="G5" s="10" t="s">
        <v>926</v>
      </c>
      <c r="H5" s="10"/>
      <c r="I5" s="10"/>
      <c r="J5" s="10"/>
      <c r="K5" s="2"/>
      <c r="L5"/>
      <c r="M5" s="38" t="s">
        <v>29</v>
      </c>
      <c r="O5" s="1"/>
      <c r="P5"/>
      <c r="Q5"/>
      <c r="R5"/>
      <c r="T5" s="755" t="str">
        <f>LOOKUP(U4,Materials[[#All],[Refe-rence]],Materials[[#All],[Material]])</f>
        <v>Depleted Uranium</v>
      </c>
      <c r="U5" s="755"/>
      <c r="V5" s="102" t="s">
        <v>297</v>
      </c>
      <c r="W5" s="755" t="str">
        <f>LOOKUP(W4,Materials[[#All],[Refe-rence]],Materials[[#All],[Material]])</f>
        <v>Austenitic Stainless Steel</v>
      </c>
      <c r="X5" s="755"/>
    </row>
    <row r="6" spans="1:24" s="38" customFormat="1">
      <c r="B6" s="616"/>
      <c r="C6" s="616"/>
      <c r="D6" s="616"/>
      <c r="G6" s="38" t="s">
        <v>925</v>
      </c>
      <c r="H6" s="9"/>
      <c r="I6" s="9"/>
      <c r="J6" s="9"/>
      <c r="K6"/>
      <c r="N6" t="s">
        <v>11</v>
      </c>
      <c r="O6" s="1">
        <f>(D22/I8)*D23</f>
        <v>0.48968868302571555</v>
      </c>
      <c r="P6" t="s">
        <v>2</v>
      </c>
      <c r="T6" s="74"/>
      <c r="U6" s="74" t="s">
        <v>292</v>
      </c>
      <c r="V6" s="74" t="s">
        <v>299</v>
      </c>
      <c r="W6" s="74" t="s">
        <v>293</v>
      </c>
      <c r="X6" s="74"/>
    </row>
    <row r="7" spans="1:24" s="38" customFormat="1">
      <c r="B7" s="616"/>
      <c r="C7" s="616"/>
      <c r="D7" s="616"/>
      <c r="H7" t="s">
        <v>3</v>
      </c>
      <c r="I7" s="70">
        <v>69</v>
      </c>
      <c r="J7" s="596" t="str">
        <f>LOOKUP(I7,Material!A:A,Material!B:B)</f>
        <v>Silicon Carbide</v>
      </c>
      <c r="K7" s="596"/>
      <c r="N7"/>
      <c r="O7" s="1">
        <f>O6*1000</f>
        <v>489.68868302571553</v>
      </c>
      <c r="P7" t="s">
        <v>12</v>
      </c>
      <c r="T7" s="74"/>
      <c r="U7" s="74">
        <v>200</v>
      </c>
      <c r="V7" s="74">
        <f t="shared" ref="V7:V22" si="0">(1-EXP(-$W$7*U7^2))/$W$9</f>
        <v>0.128728784244796</v>
      </c>
      <c r="W7" s="104">
        <f>Terminal!W9*LOOKUP(Terminal!U4,Materials[[#All],[Refe-rence]],Materials[[#All],[Density (kg/m3)]])/(2*(1+W9)*1000000*LOOKUP(Terminal!U4,Materials[[#All],[Refe-rence]],Materials[[#All],[Ultimate Tensile Strength (Mpa)]]))</f>
        <v>2.1789403804915781E-6</v>
      </c>
      <c r="X7" s="74"/>
    </row>
    <row r="8" spans="1:24" s="38" customFormat="1">
      <c r="B8" s="616"/>
      <c r="C8" s="616"/>
      <c r="D8" s="616"/>
      <c r="H8" t="s">
        <v>7</v>
      </c>
      <c r="I8" s="5">
        <f>LOOKUP(I7,Materials[[#All],[Refe-rence]],Materials[[#All],[Density (kg/m3)]])</f>
        <v>3210</v>
      </c>
      <c r="J8" t="s">
        <v>8</v>
      </c>
      <c r="N8" t="s">
        <v>290</v>
      </c>
      <c r="O8" s="1">
        <f>I8*O6</f>
        <v>1571.9006725125469</v>
      </c>
      <c r="P8" t="s">
        <v>285</v>
      </c>
      <c r="T8" s="74"/>
      <c r="U8" s="74">
        <v>400</v>
      </c>
      <c r="V8" s="74">
        <f t="shared" si="0"/>
        <v>0.45395967084341693</v>
      </c>
      <c r="W8" s="80" t="s">
        <v>294</v>
      </c>
      <c r="X8" s="74"/>
    </row>
    <row r="9" spans="1:24" s="38" customFormat="1" ht="14.65" thickBot="1">
      <c r="B9" s="616"/>
      <c r="C9" s="616"/>
      <c r="D9" s="616"/>
      <c r="F9" s="297"/>
      <c r="L9" s="10"/>
      <c r="M9" s="12"/>
      <c r="N9" s="12"/>
      <c r="O9" s="1"/>
      <c r="T9" s="74"/>
      <c r="U9" s="74">
        <v>600</v>
      </c>
      <c r="V9" s="74">
        <f t="shared" si="0"/>
        <v>0.83839821731273345</v>
      </c>
      <c r="W9" s="78">
        <f>SQRT(LOOKUP(W4,Materials[[#All],[Refe-rence]],Materials[[#All],[Density (kg/m3)]])/LOOKUP(U4,Materials[[#All],[Refe-rence]],Materials[[#All],[Density (kg/m3)]]))</f>
        <v>0.64839713769227825</v>
      </c>
      <c r="X9" s="74"/>
    </row>
    <row r="10" spans="1:24" s="38" customFormat="1" ht="14.65" thickTop="1">
      <c r="B10" s="616"/>
      <c r="C10" s="616"/>
      <c r="D10" s="616"/>
      <c r="F10" s="297"/>
      <c r="G10" s="311" t="s">
        <v>15</v>
      </c>
      <c r="H10" s="311"/>
      <c r="I10" s="311"/>
      <c r="J10" s="311"/>
      <c r="K10" s="311"/>
      <c r="L10" s="311"/>
      <c r="M10" s="311"/>
      <c r="N10" s="311"/>
      <c r="O10" s="389"/>
      <c r="P10" s="311"/>
      <c r="Q10" s="311"/>
      <c r="R10" s="311"/>
      <c r="S10" s="311"/>
      <c r="T10" s="312"/>
      <c r="U10" s="312">
        <v>800</v>
      </c>
      <c r="V10" s="312">
        <f t="shared" si="0"/>
        <v>1.1598577300938873</v>
      </c>
      <c r="W10" s="74"/>
      <c r="X10" s="74"/>
    </row>
    <row r="11" spans="1:24" s="38" customFormat="1">
      <c r="B11" s="616"/>
      <c r="C11" s="616"/>
      <c r="D11" s="616"/>
      <c r="F11" s="302"/>
      <c r="G11" s="297" t="s">
        <v>928</v>
      </c>
      <c r="H11" s="297"/>
      <c r="I11" s="297"/>
      <c r="J11" s="297"/>
      <c r="K11" s="297"/>
      <c r="L11" s="297"/>
      <c r="M11" s="297"/>
      <c r="N11" s="297"/>
      <c r="O11" s="306"/>
      <c r="P11" s="297"/>
      <c r="Q11" s="297"/>
      <c r="R11" s="297"/>
      <c r="S11" s="297"/>
      <c r="T11" s="44"/>
      <c r="U11" s="44">
        <v>1000</v>
      </c>
      <c r="V11" s="44">
        <f t="shared" si="0"/>
        <v>1.3677398824140647</v>
      </c>
      <c r="W11" s="74"/>
      <c r="X11" s="74"/>
    </row>
    <row r="12" spans="1:24" s="38" customFormat="1">
      <c r="F12" s="297"/>
      <c r="G12" s="297"/>
      <c r="H12" s="297" t="s">
        <v>3</v>
      </c>
      <c r="I12" s="303">
        <v>181</v>
      </c>
      <c r="J12" s="297" t="s">
        <v>6</v>
      </c>
      <c r="K12" s="297"/>
      <c r="L12" s="297"/>
      <c r="M12" s="297"/>
      <c r="N12" s="297"/>
      <c r="O12" s="306"/>
      <c r="P12" s="297"/>
      <c r="Q12" s="297"/>
      <c r="R12" s="297"/>
      <c r="S12" s="297"/>
      <c r="T12" s="44"/>
      <c r="U12" s="44">
        <v>1200</v>
      </c>
      <c r="V12" s="44">
        <f t="shared" si="0"/>
        <v>1.4753557039977443</v>
      </c>
      <c r="W12" s="74"/>
      <c r="X12" s="74"/>
    </row>
    <row r="13" spans="1:24" s="38" customFormat="1">
      <c r="B13" s="38" t="s">
        <v>924</v>
      </c>
      <c r="F13" s="297"/>
      <c r="G13" s="297"/>
      <c r="H13" s="304" t="s">
        <v>10</v>
      </c>
      <c r="I13" s="297" t="s">
        <v>3</v>
      </c>
      <c r="J13" s="659" t="str">
        <f>LOOKUP(I12,Material!A:A,Material!B:B)</f>
        <v>Austenitic Stainless Steel</v>
      </c>
      <c r="K13" s="659"/>
      <c r="L13" s="659"/>
      <c r="M13" s="297"/>
      <c r="N13" s="297"/>
      <c r="O13" s="306"/>
      <c r="P13" s="297"/>
      <c r="Q13" s="297"/>
      <c r="R13" s="297"/>
      <c r="S13" s="297"/>
      <c r="T13" s="44"/>
      <c r="U13" s="44">
        <v>1400</v>
      </c>
      <c r="V13" s="44">
        <f t="shared" si="0"/>
        <v>1.5207166514774753</v>
      </c>
      <c r="W13" s="74"/>
      <c r="X13" s="74"/>
    </row>
    <row r="14" spans="1:24" s="38" customFormat="1">
      <c r="C14" s="38" t="s">
        <v>3</v>
      </c>
      <c r="D14" s="70">
        <v>90</v>
      </c>
      <c r="E14" s="38" t="s">
        <v>6</v>
      </c>
      <c r="F14" s="297"/>
      <c r="G14" s="297"/>
      <c r="H14" s="297"/>
      <c r="I14" s="297" t="s">
        <v>7</v>
      </c>
      <c r="J14" s="299">
        <f>LOOKUP(I12,Materials[[#All],[Refe-rence]],Materials[[#All],[Density (kg/m3)]])</f>
        <v>8030</v>
      </c>
      <c r="K14" s="297" t="s">
        <v>8</v>
      </c>
      <c r="L14" s="302"/>
      <c r="M14" s="297"/>
      <c r="N14" s="297"/>
      <c r="O14" s="306"/>
      <c r="P14" s="297"/>
      <c r="Q14" s="297"/>
      <c r="R14" s="297"/>
      <c r="S14" s="297"/>
      <c r="T14" s="44"/>
      <c r="U14" s="44">
        <v>1600</v>
      </c>
      <c r="V14" s="44">
        <f t="shared" si="0"/>
        <v>1.5364352403150812</v>
      </c>
      <c r="W14" s="74"/>
      <c r="X14" s="74"/>
    </row>
    <row r="15" spans="1:24" s="38" customFormat="1">
      <c r="C15" s="38" t="s">
        <v>4</v>
      </c>
      <c r="D15" s="185">
        <v>0.1</v>
      </c>
      <c r="E15" s="38" t="s">
        <v>1</v>
      </c>
      <c r="F15" s="297"/>
      <c r="G15" s="297"/>
      <c r="H15" s="297"/>
      <c r="I15" s="297" t="s">
        <v>888</v>
      </c>
      <c r="J15" s="299">
        <f>LOOKUP(I12,Materials[[#All],[Refe-rence]],Materials[[#All],[Ultimate Tensile Strength (Mpa)]])</f>
        <v>621</v>
      </c>
      <c r="K15" s="297" t="s">
        <v>21</v>
      </c>
      <c r="L15" s="297"/>
      <c r="M15" s="297"/>
      <c r="N15" s="297"/>
      <c r="O15" s="306"/>
      <c r="P15" s="297"/>
      <c r="Q15" s="297"/>
      <c r="R15" s="297"/>
      <c r="S15" s="297"/>
      <c r="T15" s="44"/>
      <c r="U15" s="44">
        <v>1800</v>
      </c>
      <c r="V15" s="44">
        <f t="shared" si="0"/>
        <v>1.5409399017396188</v>
      </c>
      <c r="W15" s="74"/>
      <c r="X15" s="74"/>
    </row>
    <row r="16" spans="1:24" s="38" customFormat="1">
      <c r="C16" s="38" t="s">
        <v>5</v>
      </c>
      <c r="D16" s="70">
        <v>4.4999999999999997E-3</v>
      </c>
      <c r="E16" s="38" t="s">
        <v>2</v>
      </c>
      <c r="F16" s="297"/>
      <c r="G16" s="297"/>
      <c r="H16" s="297"/>
      <c r="I16" s="297"/>
      <c r="J16" s="297"/>
      <c r="K16" s="297"/>
      <c r="L16" s="297"/>
      <c r="M16" s="297"/>
      <c r="N16" s="297"/>
      <c r="O16" s="306"/>
      <c r="P16" s="297"/>
      <c r="Q16" s="297"/>
      <c r="R16" s="297"/>
      <c r="S16" s="297"/>
      <c r="T16" s="44"/>
      <c r="U16" s="44">
        <v>2000</v>
      </c>
      <c r="V16" s="44">
        <f t="shared" si="0"/>
        <v>1.5420117719977353</v>
      </c>
      <c r="W16" s="74"/>
      <c r="X16" s="74"/>
    </row>
    <row r="17" spans="1:24" s="38" customFormat="1">
      <c r="C17" s="38" t="s">
        <v>37</v>
      </c>
      <c r="D17" s="73">
        <v>1500</v>
      </c>
      <c r="E17" s="38" t="s">
        <v>16</v>
      </c>
      <c r="F17" s="297"/>
      <c r="G17" s="297"/>
      <c r="H17" s="305" t="s">
        <v>938</v>
      </c>
      <c r="I17" s="297"/>
      <c r="J17" s="297"/>
      <c r="K17" s="297"/>
      <c r="L17" s="297"/>
      <c r="M17" s="297"/>
      <c r="N17" s="297"/>
      <c r="O17" s="306"/>
      <c r="P17" s="297"/>
      <c r="Q17" s="297"/>
      <c r="R17" s="297"/>
      <c r="S17" s="297"/>
      <c r="T17" s="44"/>
      <c r="U17" s="44">
        <v>2200</v>
      </c>
      <c r="V17" s="44">
        <f t="shared" si="0"/>
        <v>1.5422241174184421</v>
      </c>
      <c r="W17" s="74"/>
      <c r="X17" s="74"/>
    </row>
    <row r="18" spans="1:24">
      <c r="B18" s="38"/>
      <c r="C18" s="117" t="s">
        <v>756</v>
      </c>
      <c r="D18" s="73">
        <v>0</v>
      </c>
      <c r="E18" s="117" t="s">
        <v>757</v>
      </c>
      <c r="F18" s="297"/>
      <c r="G18" s="305" t="s">
        <v>935</v>
      </c>
      <c r="H18" s="306">
        <f>ATAN((2/3*D22*D17^2/(D24*1000000)*(D26+1/D26)*(1+SQRT(D22/J14)))^(1/3))/PI()*180</f>
        <v>82.212525753788128</v>
      </c>
      <c r="I18" s="297" t="s">
        <v>936</v>
      </c>
      <c r="J18" s="307">
        <f>IFERROR(ATAN(SQRT(D22*D17^2/(J15*1000000)*(D17+J19)/(D17-J19)))*180/PI(),"N/A")</f>
        <v>86.814459925548633</v>
      </c>
      <c r="K18" s="297" t="s">
        <v>937</v>
      </c>
      <c r="L18" s="297"/>
      <c r="M18" s="297"/>
      <c r="N18" s="297"/>
      <c r="O18" s="306"/>
      <c r="P18" s="297"/>
      <c r="Q18" s="297"/>
      <c r="R18" s="297"/>
      <c r="S18" s="297"/>
      <c r="T18" s="44"/>
      <c r="U18" s="44">
        <v>2400</v>
      </c>
      <c r="V18" s="44">
        <f t="shared" si="0"/>
        <v>1.5422592103435901</v>
      </c>
      <c r="W18" s="74"/>
      <c r="X18" s="74"/>
    </row>
    <row r="19" spans="1:24" ht="14.25" customHeight="1">
      <c r="B19" s="38"/>
      <c r="C19" s="38"/>
      <c r="D19" s="5"/>
      <c r="E19" s="38"/>
      <c r="F19" s="297"/>
      <c r="G19" s="297"/>
      <c r="H19" s="297"/>
      <c r="I19" s="297"/>
      <c r="J19" s="298">
        <f>(D22*D17-SQRT(D22^2*D17^2-(D22-J14)*(D22*D17^2+2*(D24-J15)*1000000)))/(D22-J14)</f>
        <v>970.44006966884774</v>
      </c>
      <c r="K19" s="297"/>
      <c r="L19" s="297"/>
      <c r="M19" s="297"/>
      <c r="N19" s="297"/>
      <c r="O19" s="306"/>
      <c r="P19" s="297"/>
      <c r="Q19" s="297"/>
      <c r="R19" s="297"/>
      <c r="S19" s="297"/>
      <c r="T19" s="44"/>
      <c r="U19" s="44">
        <v>2600</v>
      </c>
      <c r="V19" s="44">
        <f t="shared" si="0"/>
        <v>1.5422640554713916</v>
      </c>
      <c r="W19" s="74"/>
      <c r="X19" s="74"/>
    </row>
    <row r="20" spans="1:24" ht="14.25" customHeight="1">
      <c r="B20" s="38"/>
      <c r="C20" s="38"/>
      <c r="D20" s="38"/>
      <c r="E20" s="38"/>
      <c r="F20" s="297"/>
      <c r="G20" s="297" t="s">
        <v>29</v>
      </c>
      <c r="H20" s="297"/>
      <c r="I20" s="297"/>
      <c r="J20" s="297"/>
      <c r="K20" s="297"/>
      <c r="L20" s="297"/>
      <c r="M20" s="297"/>
      <c r="N20" s="297"/>
      <c r="O20" s="306"/>
      <c r="P20" s="297"/>
      <c r="Q20" s="297"/>
      <c r="R20" s="297"/>
      <c r="S20" s="297"/>
      <c r="T20" s="44"/>
      <c r="U20" s="44">
        <v>2800</v>
      </c>
      <c r="V20" s="44">
        <f t="shared" si="0"/>
        <v>1.5422646149442614</v>
      </c>
      <c r="W20" s="74"/>
      <c r="X20" s="74"/>
    </row>
    <row r="21" spans="1:24" ht="13.9" customHeight="1">
      <c r="B21" s="2" t="s">
        <v>10</v>
      </c>
      <c r="C21" s="57" t="s">
        <v>3</v>
      </c>
      <c r="D21" s="596" t="str">
        <f>LOOKUP(D14,Material!A:A,Material!B:B)</f>
        <v>Depleted Uranium</v>
      </c>
      <c r="E21" s="596"/>
      <c r="F21" s="297"/>
      <c r="G21" s="297"/>
      <c r="H21" s="297" t="s">
        <v>933</v>
      </c>
      <c r="I21" s="308">
        <f>L22*(2*D16)</f>
        <v>0.18572095017591911</v>
      </c>
      <c r="J21" s="297" t="s">
        <v>2</v>
      </c>
      <c r="K21" s="309" t="s">
        <v>922</v>
      </c>
      <c r="L21" s="301">
        <f>IF(D26&lt;10,D26+3.77*(1-TANH((D26-10)/6.89)),D26)</f>
        <v>13.380108619168574</v>
      </c>
      <c r="M21" s="297"/>
      <c r="N21" s="297"/>
      <c r="O21" s="306"/>
      <c r="P21" s="297"/>
      <c r="Q21" s="297"/>
      <c r="R21" s="297"/>
      <c r="S21" s="297"/>
      <c r="T21" s="44"/>
      <c r="U21" s="44">
        <v>3000</v>
      </c>
      <c r="V21" s="44">
        <f t="shared" si="0"/>
        <v>1.5422646690209705</v>
      </c>
      <c r="W21" s="74"/>
      <c r="X21" s="74"/>
    </row>
    <row r="22" spans="1:24" ht="13.9" customHeight="1">
      <c r="B22" s="38"/>
      <c r="C22" s="38" t="s">
        <v>7</v>
      </c>
      <c r="D22" s="5">
        <f>LOOKUP(D14,Materials[[#All],[Refe-rence]],Materials[[#All],[Density (kg/m3)]])</f>
        <v>19100</v>
      </c>
      <c r="E22" s="38" t="s">
        <v>8</v>
      </c>
      <c r="F22" s="310"/>
      <c r="G22" s="297"/>
      <c r="H22" s="297"/>
      <c r="I22" s="299">
        <f>I21*1000</f>
        <v>185.72095017591911</v>
      </c>
      <c r="J22" s="297" t="s">
        <v>12</v>
      </c>
      <c r="K22" s="300" t="s">
        <v>923</v>
      </c>
      <c r="L22" s="301">
        <f>L21*COS(D18*PI()/180)^0.745*SQRT(D22/J14)*EXP(-25.9*J15/(D22*D17^2))</f>
        <v>20.635661130657681</v>
      </c>
      <c r="M22" s="297"/>
      <c r="N22" s="297"/>
      <c r="O22" s="306"/>
      <c r="P22" s="297"/>
      <c r="Q22" s="297"/>
      <c r="R22" s="297"/>
      <c r="S22" s="297"/>
      <c r="T22" s="44"/>
      <c r="U22" s="44">
        <v>3200</v>
      </c>
      <c r="V22" s="44">
        <f t="shared" si="0"/>
        <v>1.5422646733990917</v>
      </c>
      <c r="W22" s="74"/>
      <c r="X22" s="74"/>
    </row>
    <row r="23" spans="1:24" s="289" customFormat="1" ht="13.9" customHeight="1">
      <c r="C23" s="38" t="s">
        <v>9</v>
      </c>
      <c r="D23" s="1">
        <f>(D15/D22)/(PI()*D16^2)</f>
        <v>8.229846452945272E-2</v>
      </c>
      <c r="E23" s="38" t="s">
        <v>2</v>
      </c>
      <c r="F23" s="310"/>
      <c r="G23" s="297"/>
      <c r="H23" s="297"/>
      <c r="I23" s="297"/>
      <c r="J23" s="297"/>
      <c r="K23" s="298"/>
      <c r="L23" s="297"/>
      <c r="M23" s="297"/>
      <c r="N23" s="297"/>
      <c r="O23" s="306"/>
      <c r="P23" s="297"/>
      <c r="Q23" s="300"/>
      <c r="R23" s="301"/>
      <c r="S23" s="297"/>
      <c r="T23" s="44"/>
      <c r="U23" s="44"/>
      <c r="V23" s="44"/>
      <c r="W23" s="74"/>
      <c r="X23" s="74"/>
    </row>
    <row r="24" spans="1:24" s="289" customFormat="1" ht="13.9" customHeight="1" thickBot="1">
      <c r="C24" s="38" t="s">
        <v>888</v>
      </c>
      <c r="D24" s="5">
        <f>LOOKUP(D14,Materials[[#All],[Refe-rence]],Materials[[#All],[Ultimate Tensile Strength (Mpa)]])</f>
        <v>1724</v>
      </c>
      <c r="E24" s="38" t="s">
        <v>21</v>
      </c>
      <c r="F24" s="310"/>
      <c r="G24" s="292"/>
      <c r="H24" s="292"/>
      <c r="I24" s="292"/>
      <c r="J24" s="292"/>
      <c r="K24" s="293"/>
      <c r="L24" s="292"/>
      <c r="M24" s="292"/>
      <c r="N24" s="292"/>
      <c r="O24" s="390"/>
      <c r="P24" s="292"/>
      <c r="Q24" s="294"/>
      <c r="R24" s="295"/>
      <c r="S24" s="292"/>
      <c r="T24" s="296"/>
      <c r="U24" s="296"/>
      <c r="V24" s="296"/>
      <c r="W24" s="74"/>
      <c r="X24" s="74"/>
    </row>
    <row r="25" spans="1:24" ht="14.65" thickTop="1">
      <c r="B25" s="38"/>
      <c r="C25" s="38" t="s">
        <v>28</v>
      </c>
      <c r="D25" s="21">
        <f>D15*D17^2/2</f>
        <v>112500</v>
      </c>
      <c r="E25" s="38" t="s">
        <v>27</v>
      </c>
      <c r="F25" s="38"/>
      <c r="G25" s="38" t="s">
        <v>929</v>
      </c>
      <c r="H25" s="38"/>
      <c r="I25" s="38"/>
      <c r="J25" s="38"/>
      <c r="L25" s="38"/>
      <c r="S25" s="38"/>
      <c r="T25" s="38"/>
    </row>
    <row r="26" spans="1:24">
      <c r="A26" s="11"/>
      <c r="B26" s="38"/>
      <c r="C26" s="38" t="s">
        <v>880</v>
      </c>
      <c r="D26" s="1">
        <f>D23/(D16*2)</f>
        <v>9.1442738366058585</v>
      </c>
      <c r="E26" s="38"/>
      <c r="F26" s="2"/>
      <c r="G26" t="s">
        <v>17</v>
      </c>
      <c r="H26" s="38"/>
      <c r="I26" s="38"/>
      <c r="J26" s="38"/>
      <c r="K26" s="38"/>
      <c r="L26" s="38"/>
      <c r="M26" s="38"/>
      <c r="N26" t="s">
        <v>19</v>
      </c>
      <c r="O26" s="1">
        <f>D23*(1-EXP(-R26*D17^2))/R27*COS(D18/180*PI())</f>
        <v>0.12598331861850506</v>
      </c>
      <c r="P26" t="s">
        <v>2</v>
      </c>
      <c r="Q26" s="29" t="s">
        <v>20</v>
      </c>
      <c r="R26" s="118">
        <f>(R27*D22)/(2*(R27+1)*D24*1000000)</f>
        <v>2.1789403804915785E-6</v>
      </c>
      <c r="S26" t="s">
        <v>23</v>
      </c>
      <c r="T26" s="7">
        <f>IF(O26&gt;I29,SQRT(D17^2+LN(1-R27*I29/D23)/R26),0)</f>
        <v>0</v>
      </c>
      <c r="U26" t="s">
        <v>16</v>
      </c>
      <c r="V26" s="116">
        <f>T28/$D$25</f>
        <v>0</v>
      </c>
    </row>
    <row r="27" spans="1:24">
      <c r="B27" s="38"/>
      <c r="F27" s="38"/>
      <c r="G27"/>
      <c r="H27" s="38" t="s">
        <v>3</v>
      </c>
      <c r="I27" s="70">
        <v>181</v>
      </c>
      <c r="J27" s="672" t="str">
        <f>LOOKUP(I27,Material!A:A,Material!B:B)</f>
        <v>Austenitic Stainless Steel</v>
      </c>
      <c r="K27" s="659"/>
      <c r="L27" s="659"/>
      <c r="M27" s="659"/>
      <c r="O27" s="1">
        <f>O26*1000</f>
        <v>125.98331861850507</v>
      </c>
      <c r="P27" t="s">
        <v>12</v>
      </c>
      <c r="Q27" s="119" t="s">
        <v>295</v>
      </c>
      <c r="R27" s="120">
        <f>SQRT(I30/D22)</f>
        <v>0.64839713769227825</v>
      </c>
      <c r="S27" t="s">
        <v>298</v>
      </c>
      <c r="T27" s="6">
        <f>D23*EXP((R27*D22/(2*(1+R27)*D24*1000000))*(T26^2-D17^2))</f>
        <v>6.112413402397435E-4</v>
      </c>
      <c r="U27" t="s">
        <v>2</v>
      </c>
      <c r="V27" s="116"/>
    </row>
    <row r="28" spans="1:24">
      <c r="B28" s="38"/>
      <c r="F28" s="38"/>
      <c r="G28"/>
      <c r="H28" s="38" t="s">
        <v>18</v>
      </c>
      <c r="I28" s="70">
        <v>0.2</v>
      </c>
      <c r="J28" s="38" t="s">
        <v>2</v>
      </c>
      <c r="K28" s="38" t="s">
        <v>290</v>
      </c>
      <c r="L28" s="38">
        <f>I30*I28</f>
        <v>1606</v>
      </c>
      <c r="M28" s="38" t="s">
        <v>285</v>
      </c>
      <c r="N28" s="14" t="s">
        <v>288</v>
      </c>
      <c r="O28" s="1">
        <f>O26*I30</f>
        <v>1011.6460485065957</v>
      </c>
      <c r="P28" s="596" t="s">
        <v>285</v>
      </c>
      <c r="Q28" s="596"/>
      <c r="S28" t="s">
        <v>26</v>
      </c>
      <c r="T28" s="16">
        <f>((T27/D23)*D15*T26^2)/2</f>
        <v>0</v>
      </c>
      <c r="U28" t="s">
        <v>27</v>
      </c>
      <c r="V28" s="116"/>
    </row>
    <row r="29" spans="1:24" s="38" customFormat="1">
      <c r="G29" s="2"/>
      <c r="H29" s="124" t="s">
        <v>934</v>
      </c>
      <c r="I29" s="1">
        <f>I28/COS($D$18*PI()/180)</f>
        <v>0.2</v>
      </c>
      <c r="J29" s="38" t="s">
        <v>2</v>
      </c>
      <c r="K29" s="122" t="s">
        <v>286</v>
      </c>
      <c r="L29" s="38">
        <f>L28</f>
        <v>1606</v>
      </c>
      <c r="M29" s="38" t="s">
        <v>285</v>
      </c>
      <c r="N29" s="14"/>
      <c r="O29" s="1"/>
      <c r="P29" s="121"/>
      <c r="Q29" s="121"/>
      <c r="T29" s="16"/>
      <c r="V29" s="123"/>
    </row>
    <row r="30" spans="1:24" s="38" customFormat="1">
      <c r="H30" s="124" t="s">
        <v>7</v>
      </c>
      <c r="I30" s="5">
        <f>LOOKUP(I27,Materials[[#All],[Refe-rence]],Materials[[#All],[Density (kg/m3)]])</f>
        <v>8030</v>
      </c>
      <c r="J30" s="38" t="s">
        <v>8</v>
      </c>
      <c r="N30" s="14"/>
      <c r="O30" s="1"/>
      <c r="P30" s="121"/>
      <c r="Q30" s="121"/>
      <c r="T30" s="16"/>
      <c r="V30" s="123"/>
    </row>
    <row r="31" spans="1:24">
      <c r="B31" s="38"/>
      <c r="C31" s="38"/>
      <c r="D31" s="38"/>
      <c r="E31" s="38"/>
      <c r="F31" s="38"/>
      <c r="G31" t="s">
        <v>282</v>
      </c>
      <c r="K31" s="38"/>
      <c r="L31" s="38"/>
      <c r="N31" t="s">
        <v>24</v>
      </c>
      <c r="O31" s="1">
        <f>T27*(1-EXP(-R31*T26^2))/R32*COS(D18/180*PI())</f>
        <v>0</v>
      </c>
      <c r="P31" t="s">
        <v>2</v>
      </c>
      <c r="Q31" s="29" t="s">
        <v>25</v>
      </c>
      <c r="R31" s="118">
        <f>(R32*$D$22)/(2*(R32+1)*$D$24*1000000)</f>
        <v>1.6106337450619293E-6</v>
      </c>
      <c r="S31" t="s">
        <v>23</v>
      </c>
      <c r="T31" s="7">
        <f>IF(O31&gt;I34,SQRT(T26^2+LN(1-R32*I34/T27)/R31),0)</f>
        <v>0</v>
      </c>
      <c r="U31" t="s">
        <v>16</v>
      </c>
      <c r="V31" s="116">
        <f>T33/$D$25</f>
        <v>0</v>
      </c>
    </row>
    <row r="32" spans="1:24" s="38" customFormat="1" ht="14.25" customHeight="1">
      <c r="B32" s="616" t="s">
        <v>931</v>
      </c>
      <c r="C32" s="616"/>
      <c r="D32" s="616"/>
      <c r="G32"/>
      <c r="H32" t="s">
        <v>3</v>
      </c>
      <c r="I32" s="70">
        <v>69</v>
      </c>
      <c r="J32" s="672" t="str">
        <f>LOOKUP(I32,Material!A:A,Material!B:B)</f>
        <v>Silicon Carbide</v>
      </c>
      <c r="K32" s="596"/>
      <c r="L32" s="596"/>
      <c r="M32" s="596"/>
      <c r="N32"/>
      <c r="O32" s="1">
        <f>O31*1000</f>
        <v>0</v>
      </c>
      <c r="P32" t="s">
        <v>12</v>
      </c>
      <c r="Q32" s="29" t="s">
        <v>296</v>
      </c>
      <c r="R32" s="120">
        <f>SQRT(I35/$D$22)</f>
        <v>0.40995466484128568</v>
      </c>
      <c r="S32" t="s">
        <v>298</v>
      </c>
      <c r="T32" s="6">
        <f>IF(T26&gt;0,T27*EXP((R32*$D$22/(2*(1+R32)*$D$24*1000000))*(T31^2-T26^2)),0)</f>
        <v>0</v>
      </c>
      <c r="U32" t="s">
        <v>2</v>
      </c>
      <c r="V32" s="116"/>
    </row>
    <row r="33" spans="1:28">
      <c r="B33" s="616"/>
      <c r="C33" s="616"/>
      <c r="D33" s="616"/>
      <c r="E33" s="38"/>
      <c r="F33" s="38"/>
      <c r="G33"/>
      <c r="H33" s="38" t="s">
        <v>18</v>
      </c>
      <c r="I33" s="70">
        <v>0.2</v>
      </c>
      <c r="J33" t="s">
        <v>2</v>
      </c>
      <c r="K33" s="38" t="s">
        <v>290</v>
      </c>
      <c r="L33" s="38">
        <f>I35*I33</f>
        <v>642</v>
      </c>
      <c r="M33" s="38" t="s">
        <v>285</v>
      </c>
      <c r="N33" s="14" t="s">
        <v>288</v>
      </c>
      <c r="O33" s="1">
        <f>O31*I35</f>
        <v>0</v>
      </c>
      <c r="P33" s="596" t="s">
        <v>285</v>
      </c>
      <c r="Q33" s="596"/>
      <c r="S33" t="s">
        <v>26</v>
      </c>
      <c r="T33" s="16">
        <f>((T32/$D$23)*$D$15*T31^2)/2</f>
        <v>0</v>
      </c>
      <c r="U33" t="s">
        <v>27</v>
      </c>
      <c r="V33" s="116"/>
    </row>
    <row r="34" spans="1:28" s="38" customFormat="1">
      <c r="B34" s="616"/>
      <c r="C34" s="616"/>
      <c r="D34" s="616"/>
      <c r="H34" s="124" t="s">
        <v>934</v>
      </c>
      <c r="I34" s="1">
        <f>I33/COS($D$18*PI()/180)</f>
        <v>0.2</v>
      </c>
      <c r="J34" t="s">
        <v>2</v>
      </c>
      <c r="K34" s="122" t="s">
        <v>286</v>
      </c>
      <c r="L34" s="38">
        <f>L33+L29</f>
        <v>2248</v>
      </c>
      <c r="M34" s="38" t="s">
        <v>285</v>
      </c>
      <c r="N34" s="14"/>
      <c r="O34" s="1"/>
      <c r="P34" s="121"/>
      <c r="Q34" s="121"/>
      <c r="T34" s="16"/>
      <c r="V34" s="116"/>
    </row>
    <row r="35" spans="1:28" s="38" customFormat="1">
      <c r="B35" s="616"/>
      <c r="C35" s="616"/>
      <c r="D35" s="616"/>
      <c r="H35" s="124" t="s">
        <v>7</v>
      </c>
      <c r="I35" s="5">
        <f>LOOKUP(I32,Materials[[#All],[Refe-rence]],Materials[[#All],[Density (kg/m3)]])</f>
        <v>3210</v>
      </c>
      <c r="J35" s="38" t="s">
        <v>8</v>
      </c>
      <c r="N35" s="14"/>
      <c r="O35" s="1"/>
      <c r="P35" s="121"/>
      <c r="Q35" s="121"/>
      <c r="T35" s="16"/>
      <c r="V35" s="116"/>
    </row>
    <row r="36" spans="1:28">
      <c r="A36" s="11"/>
      <c r="B36" s="616"/>
      <c r="C36" s="616"/>
      <c r="D36" s="616"/>
      <c r="E36" s="38"/>
      <c r="F36" s="38"/>
      <c r="G36" s="38" t="s">
        <v>283</v>
      </c>
      <c r="H36" s="38"/>
      <c r="I36" s="38"/>
      <c r="J36" s="38"/>
      <c r="K36" s="38"/>
      <c r="L36" s="38"/>
      <c r="M36" s="38"/>
      <c r="N36" s="38" t="s">
        <v>2055</v>
      </c>
      <c r="O36" s="1">
        <f>T32*(1-EXP(-R36*T31^2))/R37*COS(D18/180*PI())</f>
        <v>0</v>
      </c>
      <c r="P36" s="38" t="s">
        <v>2</v>
      </c>
      <c r="Q36" s="29" t="s">
        <v>25</v>
      </c>
      <c r="R36" s="118">
        <f>(R37*$D$22)/(2*(R37+1)*$D$24*1000000)</f>
        <v>2.7697215777262183E-6</v>
      </c>
      <c r="S36" s="38" t="s">
        <v>23</v>
      </c>
      <c r="T36" s="7">
        <f>IF(O36&gt;I39,SQRT(T31^2+LN(1-R37*I39/T32)/R36),0)</f>
        <v>0</v>
      </c>
      <c r="U36" s="38" t="s">
        <v>16</v>
      </c>
      <c r="V36" s="116">
        <f>T38/$D$25</f>
        <v>0</v>
      </c>
    </row>
    <row r="37" spans="1:28">
      <c r="B37" s="616"/>
      <c r="C37" s="616"/>
      <c r="D37" s="616"/>
      <c r="E37" s="38"/>
      <c r="F37" s="38"/>
      <c r="H37" s="38" t="s">
        <v>3</v>
      </c>
      <c r="I37" s="70">
        <v>90</v>
      </c>
      <c r="J37" s="672" t="str">
        <f>LOOKUP(I37,Material!A:A,Material!B:B)</f>
        <v>Depleted Uranium</v>
      </c>
      <c r="K37" s="596"/>
      <c r="L37" s="596"/>
      <c r="M37" s="596"/>
      <c r="N37" s="38"/>
      <c r="O37" s="1">
        <f>O36*1000</f>
        <v>0</v>
      </c>
      <c r="P37" s="38" t="s">
        <v>12</v>
      </c>
      <c r="Q37" s="29" t="s">
        <v>296</v>
      </c>
      <c r="R37" s="120">
        <f>SQRT(I40/$D$22)</f>
        <v>1</v>
      </c>
      <c r="S37" s="38" t="s">
        <v>298</v>
      </c>
      <c r="T37" s="6">
        <f>IF(T31&gt;0,T32*EXP((R37*$D$22/(2*(1+R37)*$D$24*1000000))*(T36^2-T31^2)),0)</f>
        <v>0</v>
      </c>
      <c r="U37" s="38" t="s">
        <v>2</v>
      </c>
      <c r="V37" s="116"/>
    </row>
    <row r="38" spans="1:28">
      <c r="B38" s="616"/>
      <c r="C38" s="616"/>
      <c r="D38" s="616"/>
      <c r="E38" s="38"/>
      <c r="F38" s="38"/>
      <c r="H38" s="38" t="s">
        <v>18</v>
      </c>
      <c r="I38" s="70">
        <v>0.5</v>
      </c>
      <c r="J38" s="38" t="s">
        <v>2</v>
      </c>
      <c r="K38" s="38" t="s">
        <v>290</v>
      </c>
      <c r="L38" s="38">
        <f>I40*I38</f>
        <v>9550</v>
      </c>
      <c r="M38" s="38" t="s">
        <v>285</v>
      </c>
      <c r="N38" s="14" t="s">
        <v>288</v>
      </c>
      <c r="O38" s="1">
        <f>O36*I40</f>
        <v>0</v>
      </c>
      <c r="P38" s="596" t="s">
        <v>285</v>
      </c>
      <c r="Q38" s="596"/>
      <c r="R38" s="38"/>
      <c r="S38" s="38" t="s">
        <v>26</v>
      </c>
      <c r="T38" s="16">
        <f>((T37/$D$23)*$D$15*T36^2)/2</f>
        <v>0</v>
      </c>
      <c r="U38" s="38" t="s">
        <v>27</v>
      </c>
      <c r="V38" s="116"/>
    </row>
    <row r="39" spans="1:28" s="38" customFormat="1">
      <c r="B39" s="616"/>
      <c r="C39" s="616"/>
      <c r="D39" s="616"/>
      <c r="H39" s="124" t="s">
        <v>934</v>
      </c>
      <c r="I39" s="1">
        <f>I38/COS($D$18*PI()/180)</f>
        <v>0.5</v>
      </c>
      <c r="J39" s="38" t="s">
        <v>2</v>
      </c>
      <c r="K39" s="122" t="s">
        <v>286</v>
      </c>
      <c r="L39" s="38">
        <f>L38+L34</f>
        <v>11798</v>
      </c>
      <c r="M39" s="38" t="s">
        <v>285</v>
      </c>
      <c r="N39" s="14"/>
      <c r="O39" s="1"/>
      <c r="P39" s="121"/>
      <c r="Q39" s="121"/>
      <c r="T39" s="16"/>
      <c r="V39" s="116"/>
    </row>
    <row r="40" spans="1:28" s="38" customFormat="1">
      <c r="B40" s="616"/>
      <c r="C40" s="616"/>
      <c r="D40" s="616"/>
      <c r="H40" s="124" t="s">
        <v>7</v>
      </c>
      <c r="I40" s="5">
        <f>LOOKUP(I37,Materials[[#All],[Refe-rence]],Materials[[#All],[Density (kg/m3)]])</f>
        <v>19100</v>
      </c>
      <c r="J40" s="38" t="s">
        <v>8</v>
      </c>
      <c r="N40" s="14"/>
      <c r="O40" s="1"/>
      <c r="P40" s="121"/>
      <c r="Q40" s="121"/>
      <c r="T40" s="16"/>
      <c r="V40" s="116"/>
    </row>
    <row r="41" spans="1:28">
      <c r="B41" s="616"/>
      <c r="C41" s="616"/>
      <c r="D41" s="616"/>
      <c r="E41" s="38"/>
      <c r="F41" s="38"/>
      <c r="G41" s="38" t="s">
        <v>284</v>
      </c>
      <c r="H41" s="38"/>
      <c r="I41" s="38"/>
      <c r="J41" s="38"/>
      <c r="K41" s="38"/>
      <c r="L41" s="38"/>
      <c r="M41" s="38"/>
      <c r="N41" s="38" t="s">
        <v>2056</v>
      </c>
      <c r="O41" s="1">
        <f>T37*(1-EXP(-R41*T36^2))/R42*COS(D18/180*PI())</f>
        <v>0</v>
      </c>
      <c r="P41" s="38" t="s">
        <v>2</v>
      </c>
      <c r="Q41" s="29" t="s">
        <v>25</v>
      </c>
      <c r="R41" s="118">
        <f>(R42*$D$22)/(2*(R42+1)*$D$24*1000000)</f>
        <v>1.0876128772506254E-6</v>
      </c>
      <c r="S41" s="38" t="s">
        <v>23</v>
      </c>
      <c r="T41" s="7">
        <f>IF(O41&gt;I44,SQRT(T36^2+LN(1-R42*I44/T37)/R41),0)</f>
        <v>0</v>
      </c>
      <c r="U41" s="38" t="s">
        <v>16</v>
      </c>
      <c r="V41" s="116">
        <f>T43/$D$25</f>
        <v>0</v>
      </c>
    </row>
    <row r="42" spans="1:28">
      <c r="B42" s="616"/>
      <c r="C42" s="616"/>
      <c r="D42" s="616"/>
      <c r="E42" s="10"/>
      <c r="F42" s="10"/>
      <c r="H42" s="38" t="s">
        <v>3</v>
      </c>
      <c r="I42" s="70">
        <v>18</v>
      </c>
      <c r="J42" s="672" t="str">
        <f>LOOKUP(I42,Material!A:A,Material!B:B)</f>
        <v>Nitrile Rubber</v>
      </c>
      <c r="K42" s="596"/>
      <c r="L42" s="596"/>
      <c r="M42" s="596"/>
      <c r="N42" s="38"/>
      <c r="O42" s="1">
        <f>O41*1000</f>
        <v>0</v>
      </c>
      <c r="P42" s="38" t="s">
        <v>12</v>
      </c>
      <c r="Q42" s="29" t="s">
        <v>296</v>
      </c>
      <c r="R42" s="120">
        <f>SQRT(I45/$D$22)</f>
        <v>0.24430690508936817</v>
      </c>
      <c r="S42" s="38" t="s">
        <v>298</v>
      </c>
      <c r="T42" s="6">
        <f>IF(T36&gt;0,T37*EXP((R42*$D$22/(2*(1+R42)*$D$24*1000000))*(T41^2-T36^2)),0)</f>
        <v>0</v>
      </c>
      <c r="U42" s="38" t="s">
        <v>2</v>
      </c>
      <c r="V42" s="116"/>
    </row>
    <row r="43" spans="1:28">
      <c r="B43" s="616"/>
      <c r="C43" s="616"/>
      <c r="D43" s="616"/>
      <c r="E43" s="9"/>
      <c r="F43" s="9"/>
      <c r="H43" s="38" t="s">
        <v>18</v>
      </c>
      <c r="I43" s="70">
        <v>0.5</v>
      </c>
      <c r="J43" s="38" t="s">
        <v>2</v>
      </c>
      <c r="K43" s="38" t="s">
        <v>290</v>
      </c>
      <c r="L43" s="38">
        <f>I45*I43</f>
        <v>570</v>
      </c>
      <c r="M43" s="38" t="s">
        <v>285</v>
      </c>
      <c r="N43" s="14" t="s">
        <v>288</v>
      </c>
      <c r="O43" s="1">
        <f>O41*I45</f>
        <v>0</v>
      </c>
      <c r="P43" s="596" t="s">
        <v>285</v>
      </c>
      <c r="Q43" s="596"/>
      <c r="R43" s="38"/>
      <c r="S43" s="38" t="s">
        <v>26</v>
      </c>
      <c r="T43" s="16">
        <f>((T42/$D$23)*$D$15*T41^2)/2</f>
        <v>0</v>
      </c>
      <c r="U43" s="38" t="s">
        <v>27</v>
      </c>
      <c r="V43" s="116"/>
    </row>
    <row r="44" spans="1:28" s="38" customFormat="1">
      <c r="B44" s="616"/>
      <c r="C44" s="616"/>
      <c r="D44" s="616"/>
      <c r="E44" s="9"/>
      <c r="F44" s="9"/>
      <c r="H44" s="124" t="s">
        <v>934</v>
      </c>
      <c r="I44" s="1">
        <f>I43/COS($D$18*PI()/180)</f>
        <v>0.5</v>
      </c>
      <c r="J44" s="38" t="s">
        <v>2</v>
      </c>
      <c r="K44" s="122" t="s">
        <v>286</v>
      </c>
      <c r="L44" s="38">
        <f>L43+L39</f>
        <v>12368</v>
      </c>
      <c r="M44" s="38" t="s">
        <v>285</v>
      </c>
      <c r="N44" s="14"/>
      <c r="O44" s="1"/>
      <c r="P44" s="121"/>
      <c r="Q44" s="121"/>
      <c r="T44" s="16"/>
      <c r="V44" s="116"/>
    </row>
    <row r="45" spans="1:28" s="38" customFormat="1">
      <c r="B45" s="9"/>
      <c r="C45" s="9"/>
      <c r="D45" s="9"/>
      <c r="E45" s="9"/>
      <c r="F45" s="9"/>
      <c r="H45" s="124" t="s">
        <v>7</v>
      </c>
      <c r="I45" s="5">
        <f>LOOKUP(I42,Materials[[#All],[Refe-rence]],Materials[[#All],[Density (kg/m3)]])</f>
        <v>1140</v>
      </c>
      <c r="J45" s="38" t="s">
        <v>8</v>
      </c>
      <c r="N45" s="14"/>
      <c r="O45" s="1"/>
      <c r="P45" s="121"/>
      <c r="Q45" s="121"/>
      <c r="T45" s="16"/>
      <c r="V45" s="116"/>
    </row>
    <row r="46" spans="1:28">
      <c r="B46" s="9"/>
      <c r="C46" s="9"/>
      <c r="D46" s="9"/>
      <c r="E46" s="9"/>
      <c r="F46" s="9"/>
      <c r="G46" s="9"/>
      <c r="H46" s="9"/>
      <c r="I46" s="9"/>
      <c r="J46" s="9"/>
      <c r="K46" s="9"/>
      <c r="L46" s="9"/>
      <c r="M46" s="9"/>
      <c r="N46" s="9"/>
      <c r="O46" s="245" t="s">
        <v>930</v>
      </c>
      <c r="P46" s="38"/>
      <c r="Q46" s="38"/>
      <c r="R46" s="38"/>
      <c r="S46" s="38"/>
      <c r="T46" s="38"/>
    </row>
    <row r="47" spans="1:28" ht="14.25" customHeight="1">
      <c r="B47" s="616" t="s">
        <v>939</v>
      </c>
      <c r="C47" s="616"/>
      <c r="D47" s="616"/>
      <c r="E47" s="9"/>
      <c r="F47" s="38" t="s">
        <v>927</v>
      </c>
      <c r="G47" s="9"/>
      <c r="H47" s="9"/>
      <c r="I47" s="9"/>
      <c r="J47" s="9"/>
      <c r="K47" s="38"/>
      <c r="L47" s="38"/>
      <c r="M47" s="38"/>
      <c r="N47" s="38"/>
      <c r="P47" s="38"/>
      <c r="Q47" s="38"/>
      <c r="R47" s="38"/>
      <c r="S47" s="38"/>
      <c r="T47" s="38"/>
    </row>
    <row r="48" spans="1:28">
      <c r="B48" s="616"/>
      <c r="C48" s="616"/>
      <c r="D48" s="616"/>
      <c r="E48" s="9"/>
      <c r="F48" s="9"/>
      <c r="G48" s="9"/>
      <c r="H48" s="9"/>
      <c r="I48" s="9"/>
      <c r="J48" s="9"/>
      <c r="K48" s="38"/>
      <c r="L48" s="10"/>
      <c r="M48" s="10"/>
      <c r="N48" s="10"/>
      <c r="O48" s="126"/>
      <c r="P48" s="10"/>
      <c r="Q48" s="10"/>
      <c r="R48" s="10"/>
      <c r="S48" s="10"/>
      <c r="T48" s="10"/>
      <c r="X48" s="74"/>
      <c r="Y48" s="74"/>
      <c r="Z48" s="74"/>
      <c r="AA48" s="74"/>
      <c r="AB48" s="74"/>
    </row>
    <row r="49" spans="1:20" ht="14.25" customHeight="1">
      <c r="A49" s="2"/>
      <c r="B49" s="616"/>
      <c r="C49" s="616"/>
      <c r="D49" s="616"/>
      <c r="E49" s="9"/>
      <c r="F49" s="9"/>
      <c r="G49" s="10" t="s">
        <v>744</v>
      </c>
      <c r="H49" s="9"/>
      <c r="I49" s="9"/>
      <c r="J49" s="9"/>
      <c r="K49" s="12"/>
      <c r="L49" s="9"/>
      <c r="M49" s="9"/>
      <c r="N49" s="9"/>
      <c r="O49" s="245"/>
      <c r="P49" s="9"/>
      <c r="Q49" s="9"/>
      <c r="R49" s="9"/>
      <c r="S49" s="9"/>
      <c r="T49" s="9"/>
    </row>
    <row r="50" spans="1:20">
      <c r="B50" s="616"/>
      <c r="C50" s="616"/>
      <c r="D50" s="616"/>
      <c r="E50" s="9"/>
      <c r="F50" s="9"/>
      <c r="G50" s="10" t="s">
        <v>940</v>
      </c>
      <c r="H50" s="9"/>
      <c r="I50" s="9"/>
      <c r="J50" s="9"/>
      <c r="L50" s="9"/>
      <c r="M50" s="29" t="s">
        <v>767</v>
      </c>
      <c r="N50" s="29"/>
      <c r="O50" s="391"/>
      <c r="P50" s="29"/>
      <c r="Q50" s="9"/>
      <c r="R50" s="9"/>
      <c r="S50" s="9"/>
      <c r="T50" s="9"/>
    </row>
    <row r="51" spans="1:20">
      <c r="B51" s="616"/>
      <c r="C51" s="616"/>
      <c r="D51" s="616"/>
      <c r="G51" s="38" t="s">
        <v>941</v>
      </c>
      <c r="M51" s="29"/>
      <c r="N51" s="119" t="s">
        <v>764</v>
      </c>
      <c r="O51" s="391">
        <f>I67/70</f>
        <v>1.3467315860354294</v>
      </c>
      <c r="P51" s="29"/>
    </row>
    <row r="52" spans="1:20">
      <c r="H52" s="38" t="s">
        <v>3</v>
      </c>
      <c r="I52" s="70">
        <v>43</v>
      </c>
      <c r="J52" s="38" t="s">
        <v>6</v>
      </c>
      <c r="M52" s="29"/>
      <c r="N52" s="119" t="s">
        <v>765</v>
      </c>
      <c r="O52" s="391">
        <f>I67/40</f>
        <v>2.3567802755620013</v>
      </c>
      <c r="P52" s="29"/>
      <c r="Q52" s="38"/>
    </row>
    <row r="53" spans="1:20" ht="14.25" customHeight="1">
      <c r="B53" s="38" t="s">
        <v>883</v>
      </c>
      <c r="C53" s="38"/>
      <c r="D53" s="38"/>
      <c r="E53" s="38"/>
      <c r="H53" s="38" t="s">
        <v>18</v>
      </c>
      <c r="I53" s="70">
        <v>0.09</v>
      </c>
      <c r="J53" s="38" t="s">
        <v>748</v>
      </c>
      <c r="M53" s="29"/>
      <c r="N53" s="29" t="s">
        <v>758</v>
      </c>
      <c r="O53" s="391">
        <f>IF(I53/(I62^(2/3)*I61^0.5)&lt;0.126,7.451*I53/(I62^(2/3)*I61^(1/3))+0.411,1.35)</f>
        <v>1.35</v>
      </c>
      <c r="P53" s="29"/>
      <c r="Q53" s="38"/>
    </row>
    <row r="54" spans="1:20">
      <c r="B54" s="38"/>
      <c r="C54" s="38" t="s">
        <v>3</v>
      </c>
      <c r="D54" s="70">
        <v>90</v>
      </c>
      <c r="E54" s="38" t="s">
        <v>6</v>
      </c>
      <c r="G54" s="2" t="s">
        <v>10</v>
      </c>
      <c r="M54" s="29"/>
      <c r="N54" s="29" t="s">
        <v>760</v>
      </c>
      <c r="O54" s="391">
        <f>7^(-2/3)*O53</f>
        <v>0.36892244239181804</v>
      </c>
      <c r="P54" s="29"/>
      <c r="Q54" s="38"/>
    </row>
    <row r="55" spans="1:20">
      <c r="B55" s="38"/>
      <c r="C55" s="38" t="s">
        <v>4</v>
      </c>
      <c r="D55" s="70">
        <v>1</v>
      </c>
      <c r="E55" s="38" t="s">
        <v>753</v>
      </c>
      <c r="F55" s="51"/>
      <c r="G55" s="115"/>
      <c r="H55" s="38" t="s">
        <v>3</v>
      </c>
      <c r="I55" s="596" t="str">
        <f>LOOKUP(I52,Material!A:A,Material!B:B)</f>
        <v>Aluminum</v>
      </c>
      <c r="J55" s="596"/>
      <c r="K55" s="53"/>
      <c r="L55" s="53"/>
      <c r="M55" s="29"/>
      <c r="N55" s="29" t="s">
        <v>761</v>
      </c>
      <c r="O55" s="391">
        <f>3^(-2/3)*O56</f>
        <v>0.91342472786135853</v>
      </c>
      <c r="P55" s="29"/>
    </row>
    <row r="56" spans="1:20" ht="14.25" customHeight="1">
      <c r="B56" s="38"/>
      <c r="C56" s="38" t="s">
        <v>749</v>
      </c>
      <c r="D56" s="70">
        <v>1.4410000000000001</v>
      </c>
      <c r="E56" s="38" t="s">
        <v>752</v>
      </c>
      <c r="H56" s="38" t="s">
        <v>7</v>
      </c>
      <c r="I56" s="1">
        <f>LOOKUP(I52,Materials[[#All],[Refe-rence]],Materials[[#All],[Density (kg/m3)]])/1000</f>
        <v>2.7</v>
      </c>
      <c r="J56" s="38" t="s">
        <v>750</v>
      </c>
      <c r="K56" s="38" t="s">
        <v>290</v>
      </c>
      <c r="L56" s="38">
        <f>I56*I53</f>
        <v>0.24299999999999999</v>
      </c>
      <c r="M56" s="29"/>
      <c r="N56" s="29" t="s">
        <v>762</v>
      </c>
      <c r="O56" s="391">
        <v>1.9</v>
      </c>
      <c r="P56" s="29"/>
    </row>
    <row r="57" spans="1:20" ht="14.25" customHeight="1">
      <c r="B57" s="38"/>
      <c r="C57" s="38" t="s">
        <v>756</v>
      </c>
      <c r="D57" s="70">
        <v>60</v>
      </c>
      <c r="E57" s="38" t="s">
        <v>757</v>
      </c>
      <c r="H57" s="38" t="s">
        <v>755</v>
      </c>
      <c r="I57" s="4">
        <f>0.2*D62*2</f>
        <v>9.2829497411529932E-2</v>
      </c>
      <c r="J57" s="38" t="s">
        <v>748</v>
      </c>
      <c r="K57" s="38"/>
      <c r="L57" s="38"/>
      <c r="M57" s="29"/>
      <c r="N57" s="29" t="s">
        <v>759</v>
      </c>
      <c r="O57" s="391">
        <f>IF(D56&gt;=(7/COS(D57/180*PI())),O53*D61^(-1/3)*(D56*COS(D57/180*PI()))^(-2/3)*I56^(-1/9)*I61^0.5*(I62*I65)^(2/3)*O51^(1/3),0)</f>
        <v>0</v>
      </c>
      <c r="P57" s="29" t="s">
        <v>748</v>
      </c>
    </row>
    <row r="58" spans="1:20">
      <c r="K58" s="38"/>
      <c r="L58" s="9"/>
      <c r="M58" s="29"/>
      <c r="N58" s="29" t="s">
        <v>763</v>
      </c>
      <c r="O58" s="391">
        <f>IF(AND(O57=0,D56&gt;(3/COS(D57/180*PI()))),O54*D61^(-1/3)*I56^(-1/9)*I61^(1/2)*(I62*I65)^(2/3)*O51^(1/3)*(D56-3*COS(D57/180*PI())^(-1.5))/(7*COS(D57/180*PI())^(-1)-3*COS(D57/180*PI())^(-1.5))+O55*(I62*O52^(0.5)+0.37*I53*I56)*D61^(-0.5)*COS(D57/180*PI())^(-5/6)*(7*COS(D57/180*PI())^(-1)-D56)/(7*COS(D57/180*PI())^(-1)-3*COS(D57/180*PI())^(-1.5)),0)</f>
        <v>0</v>
      </c>
      <c r="P58" s="29" t="s">
        <v>748</v>
      </c>
      <c r="Q58" s="9"/>
      <c r="R58" s="9"/>
    </row>
    <row r="59" spans="1:20">
      <c r="G59" s="38" t="s">
        <v>745</v>
      </c>
      <c r="H59" s="38"/>
      <c r="I59" s="38"/>
      <c r="J59" s="38"/>
      <c r="K59" s="38"/>
      <c r="L59" s="38"/>
      <c r="M59" s="29"/>
      <c r="N59" s="29" t="s">
        <v>766</v>
      </c>
      <c r="O59" s="391">
        <f>IF(AND(O57=0,O58=0),O56*(I62*O52^(0.5)+0.37*I53*I56)*COS(D57/180*PI())^(-11/6)*D61^(-0.5)*D56^(-2/3),0)</f>
        <v>0.78032074823974329</v>
      </c>
      <c r="P59" s="29" t="s">
        <v>748</v>
      </c>
    </row>
    <row r="60" spans="1:20">
      <c r="B60" s="2" t="s">
        <v>10</v>
      </c>
      <c r="C60" s="52" t="s">
        <v>3</v>
      </c>
      <c r="D60" s="596" t="str">
        <f>LOOKUP(D54,Material!A:A,Material!B:B)</f>
        <v>Depleted Uranium</v>
      </c>
      <c r="E60" s="596"/>
      <c r="F60" s="596"/>
      <c r="H60" s="38" t="s">
        <v>3</v>
      </c>
      <c r="I60" s="70">
        <v>203</v>
      </c>
      <c r="J60" s="38" t="s">
        <v>6</v>
      </c>
      <c r="K60" s="38"/>
      <c r="L60" s="38"/>
      <c r="M60" s="38"/>
      <c r="N60" s="38"/>
      <c r="P60" s="38"/>
    </row>
    <row r="61" spans="1:20" ht="14.65" thickBot="1">
      <c r="B61" s="38"/>
      <c r="C61" s="38" t="s">
        <v>7</v>
      </c>
      <c r="D61" s="1">
        <f>LOOKUP(D54,Materials[[#All],[Refe-rence]],Materials[[#All],[Density (kg/m3)]])/1000</f>
        <v>19.100000000000001</v>
      </c>
      <c r="E61" s="38" t="s">
        <v>750</v>
      </c>
      <c r="F61" s="38"/>
      <c r="H61" s="38" t="s">
        <v>747</v>
      </c>
      <c r="I61" s="70">
        <v>1</v>
      </c>
      <c r="J61" s="38" t="s">
        <v>748</v>
      </c>
      <c r="K61" s="38"/>
      <c r="L61" s="38"/>
      <c r="M61" s="38" t="s">
        <v>29</v>
      </c>
      <c r="N61" s="38"/>
      <c r="P61" s="38"/>
    </row>
    <row r="62" spans="1:20" ht="15" thickTop="1" thickBot="1">
      <c r="B62" s="38"/>
      <c r="C62" s="38" t="s">
        <v>5</v>
      </c>
      <c r="D62" s="1">
        <f>((D55/D61)*0.75/PI())^(1/3)</f>
        <v>0.23207374352882482</v>
      </c>
      <c r="E62" s="38" t="s">
        <v>748</v>
      </c>
      <c r="F62" s="38"/>
      <c r="H62" s="38" t="s">
        <v>18</v>
      </c>
      <c r="I62" s="70">
        <v>0.36</v>
      </c>
      <c r="J62" s="38" t="s">
        <v>748</v>
      </c>
      <c r="M62" s="38"/>
      <c r="N62" s="38" t="s">
        <v>768</v>
      </c>
      <c r="O62" s="99">
        <f>MAX(O57:O59)/2</f>
        <v>0.39016037411987164</v>
      </c>
      <c r="P62" s="38" t="s">
        <v>748</v>
      </c>
    </row>
    <row r="63" spans="1:20" ht="15" thickTop="1" thickBot="1">
      <c r="C63" s="2"/>
      <c r="G63" s="2" t="s">
        <v>10</v>
      </c>
      <c r="M63" s="38"/>
      <c r="N63" s="38" t="s">
        <v>769</v>
      </c>
      <c r="O63" s="392" t="str">
        <f>IF(O62&lt;D62,"Yes","No")</f>
        <v>No</v>
      </c>
      <c r="P63" s="38"/>
    </row>
    <row r="64" spans="1:20" ht="14.65" thickTop="1">
      <c r="C64" s="38"/>
      <c r="H64" s="38" t="s">
        <v>3</v>
      </c>
      <c r="I64" s="596" t="str">
        <f>LOOKUP(I60,Material!A:A,Material!B:B)</f>
        <v>Gamma Titanium Aluminide</v>
      </c>
      <c r="J64" s="596"/>
      <c r="K64" s="596"/>
      <c r="L64" s="38"/>
      <c r="M64" s="38"/>
    </row>
    <row r="65" spans="1:23">
      <c r="C65" s="38"/>
      <c r="H65" s="38" t="s">
        <v>7</v>
      </c>
      <c r="I65" s="1">
        <f>LOOKUP(I60,Materials[[#All],[Refe-rence]],Materials[[#All],[Density (kg/m3)]])/1000</f>
        <v>3.91</v>
      </c>
      <c r="J65" s="38" t="s">
        <v>750</v>
      </c>
      <c r="K65" s="38" t="s">
        <v>290</v>
      </c>
      <c r="L65" s="38">
        <f>I65*I62</f>
        <v>1.4076</v>
      </c>
      <c r="M65" s="38" t="s">
        <v>754</v>
      </c>
    </row>
    <row r="66" spans="1:23" ht="14.25" customHeight="1">
      <c r="B66" s="662" t="s">
        <v>770</v>
      </c>
      <c r="C66" s="662"/>
      <c r="D66" s="662"/>
      <c r="E66" s="125"/>
      <c r="F66" s="125"/>
      <c r="G66" s="125"/>
      <c r="H66" s="38" t="s">
        <v>746</v>
      </c>
      <c r="I66" s="38">
        <f>LOOKUP(I60,Materials[[#All],[Refe-rence]],Materials[[#All],[Yield Strength (Mpa)]])</f>
        <v>650</v>
      </c>
      <c r="J66" s="38" t="s">
        <v>21</v>
      </c>
      <c r="K66" s="38"/>
      <c r="L66" s="38"/>
      <c r="M66" s="38"/>
    </row>
    <row r="67" spans="1:23" ht="14.65" thickBot="1">
      <c r="B67" s="662"/>
      <c r="C67" s="662"/>
      <c r="D67" s="662"/>
      <c r="E67" s="125"/>
      <c r="F67" s="125"/>
      <c r="G67" s="125"/>
      <c r="H67" s="38"/>
      <c r="I67" s="4">
        <f>I66/6.895</f>
        <v>94.27121102248006</v>
      </c>
      <c r="J67" s="38" t="s">
        <v>751</v>
      </c>
      <c r="K67" s="38"/>
      <c r="L67" s="38"/>
      <c r="M67" s="38"/>
    </row>
    <row r="68" spans="1:23" ht="15" thickTop="1" thickBot="1">
      <c r="B68" s="662"/>
      <c r="C68" s="662"/>
      <c r="D68" s="662"/>
      <c r="H68" s="38" t="s">
        <v>755</v>
      </c>
      <c r="I68" s="98">
        <f>0.16*(D62*2)^0.5*(I56*D61)^(1/6)*D55^(1/3)*D56*I61^(-0.5)*(70/I67)^0.5</f>
        <v>0.26113853541050047</v>
      </c>
      <c r="J68" s="38" t="s">
        <v>748</v>
      </c>
      <c r="K68" s="38"/>
      <c r="L68" s="38"/>
      <c r="M68" s="38"/>
    </row>
    <row r="69" spans="1:23" ht="14.65" thickTop="1">
      <c r="B69" s="662"/>
      <c r="C69" s="662"/>
      <c r="D69" s="662"/>
    </row>
    <row r="70" spans="1:23">
      <c r="B70" s="662"/>
      <c r="C70" s="662"/>
      <c r="D70" s="662"/>
    </row>
    <row r="73" spans="1:23">
      <c r="B73" s="38"/>
      <c r="C73" s="38"/>
      <c r="D73" s="38"/>
      <c r="E73" s="38"/>
      <c r="F73" s="38"/>
      <c r="H73" s="38"/>
      <c r="I73" s="38"/>
      <c r="J73" s="38"/>
      <c r="K73" s="38"/>
      <c r="L73" s="38"/>
      <c r="M73" s="38"/>
      <c r="N73" s="38"/>
      <c r="P73" s="4"/>
      <c r="Q73" s="38"/>
    </row>
    <row r="74" spans="1:23">
      <c r="B74" s="616" t="s">
        <v>946</v>
      </c>
      <c r="C74" s="616"/>
      <c r="D74" s="616"/>
      <c r="F74" t="s">
        <v>947</v>
      </c>
      <c r="G74" s="2"/>
      <c r="M74" t="s">
        <v>29</v>
      </c>
    </row>
    <row r="75" spans="1:23">
      <c r="B75" s="616"/>
      <c r="C75" s="616"/>
      <c r="D75" s="616"/>
      <c r="F75" s="38"/>
      <c r="G75" s="38" t="s">
        <v>948</v>
      </c>
      <c r="N75" t="s">
        <v>952</v>
      </c>
      <c r="O75" s="1">
        <f>((D85*D81/2/I84)/PI()*3/2)^(1/3)</f>
        <v>0.13135513774370522</v>
      </c>
      <c r="P75" t="s">
        <v>2</v>
      </c>
    </row>
    <row r="76" spans="1:23">
      <c r="A76" s="10"/>
      <c r="B76" s="616"/>
      <c r="C76" s="616"/>
      <c r="D76" s="616"/>
      <c r="E76" s="38"/>
      <c r="H76" s="38" t="s">
        <v>3</v>
      </c>
      <c r="I76" s="70">
        <v>43</v>
      </c>
      <c r="J76" s="38"/>
      <c r="K76" s="38"/>
      <c r="N76" s="10"/>
      <c r="O76" s="126">
        <f>O75*1000</f>
        <v>131.35513774370523</v>
      </c>
      <c r="P76" s="10" t="s">
        <v>12</v>
      </c>
      <c r="Q76" s="10"/>
      <c r="R76" s="10"/>
      <c r="S76" s="10"/>
    </row>
    <row r="77" spans="1:23">
      <c r="A77" s="10"/>
      <c r="B77" s="616"/>
      <c r="C77" s="616"/>
      <c r="D77" s="616"/>
      <c r="E77" s="38"/>
      <c r="H77" s="38" t="s">
        <v>442</v>
      </c>
      <c r="I77" s="184">
        <v>100</v>
      </c>
      <c r="J77" s="38" t="s">
        <v>850</v>
      </c>
      <c r="K77" s="38"/>
      <c r="L77" s="38"/>
      <c r="M77" s="38"/>
      <c r="N77" s="10"/>
      <c r="O77" s="126"/>
      <c r="P77" s="10"/>
      <c r="Q77" s="10"/>
      <c r="R77" s="10"/>
      <c r="S77" s="10"/>
      <c r="T77" s="74"/>
      <c r="U77" s="74"/>
      <c r="V77" s="38"/>
      <c r="W77" s="38"/>
    </row>
    <row r="78" spans="1:23" ht="14.25" customHeight="1">
      <c r="A78" s="10"/>
      <c r="L78" s="38"/>
      <c r="M78" s="38"/>
      <c r="N78" s="10"/>
      <c r="O78" s="126"/>
      <c r="P78" s="10"/>
      <c r="Q78" s="10"/>
      <c r="R78" s="10"/>
      <c r="S78" s="10"/>
      <c r="T78" s="74"/>
      <c r="U78" s="74"/>
      <c r="V78" s="38"/>
      <c r="W78" s="38"/>
    </row>
    <row r="79" spans="1:23">
      <c r="A79" s="10"/>
      <c r="B79" s="38" t="s">
        <v>943</v>
      </c>
      <c r="C79" s="38"/>
      <c r="D79" s="38"/>
      <c r="E79" s="38"/>
      <c r="G79" s="38" t="s">
        <v>346</v>
      </c>
      <c r="H79" s="38"/>
      <c r="I79" s="38"/>
      <c r="J79" s="38"/>
      <c r="K79" s="38"/>
      <c r="N79" s="10"/>
      <c r="O79" s="126"/>
      <c r="P79" s="10"/>
      <c r="Q79" s="10"/>
      <c r="R79" s="10"/>
      <c r="S79" s="10"/>
      <c r="T79" s="74"/>
      <c r="U79" s="74"/>
      <c r="V79" s="38"/>
      <c r="W79" s="38"/>
    </row>
    <row r="80" spans="1:23">
      <c r="A80" s="10"/>
      <c r="B80" s="38"/>
      <c r="C80" s="38" t="s">
        <v>944</v>
      </c>
      <c r="D80" s="70">
        <v>5</v>
      </c>
      <c r="E80" s="38" t="s">
        <v>6</v>
      </c>
      <c r="G80" s="570"/>
      <c r="H80" s="165" t="s">
        <v>3</v>
      </c>
      <c r="I80" s="596" t="str">
        <f>LOOKUP(I76,Material!$A:$A,Material!$B:$B)</f>
        <v>Aluminum</v>
      </c>
      <c r="J80" s="596"/>
      <c r="K80" s="569"/>
      <c r="N80" s="10"/>
      <c r="O80" s="126"/>
      <c r="P80" s="10"/>
      <c r="Q80" s="10"/>
      <c r="R80" s="10"/>
      <c r="S80" s="10"/>
      <c r="T80" s="74"/>
      <c r="U80" s="74"/>
      <c r="V80" s="38"/>
      <c r="W80" s="38"/>
    </row>
    <row r="81" spans="1:23">
      <c r="A81" s="10"/>
      <c r="B81" s="38"/>
      <c r="C81" s="38" t="s">
        <v>945</v>
      </c>
      <c r="D81" s="70">
        <v>2</v>
      </c>
      <c r="E81" s="38" t="s">
        <v>1</v>
      </c>
      <c r="G81" s="570"/>
      <c r="H81" s="570" t="s">
        <v>949</v>
      </c>
      <c r="I81" s="167">
        <f>LOOKUP(I76,Materials[Refe-rence],Materials[Ultimate Tensile Strength (Mpa)])</f>
        <v>300</v>
      </c>
      <c r="J81" s="570" t="s">
        <v>21</v>
      </c>
      <c r="K81" s="570"/>
      <c r="N81" s="10"/>
      <c r="O81" s="126"/>
      <c r="P81" s="10"/>
      <c r="Q81" s="10"/>
      <c r="R81" s="10"/>
      <c r="S81" s="10"/>
      <c r="T81" s="10"/>
      <c r="U81" s="38"/>
      <c r="V81" s="38"/>
      <c r="W81" s="38"/>
    </row>
    <row r="82" spans="1:23">
      <c r="A82" s="10"/>
      <c r="B82" s="38"/>
      <c r="C82" s="38"/>
      <c r="D82" s="38">
        <f>D81*1000</f>
        <v>2000</v>
      </c>
      <c r="E82" s="38" t="s">
        <v>753</v>
      </c>
      <c r="G82" s="570"/>
      <c r="H82" s="117" t="s">
        <v>950</v>
      </c>
      <c r="I82" s="570">
        <f>LOOKUP(I76,Materials[[#All],[Refe-rence]],Materials[[#All],[Shear Modulus (Gpa)]])</f>
        <v>25.5</v>
      </c>
      <c r="J82" s="570" t="s">
        <v>788</v>
      </c>
      <c r="K82" s="570"/>
      <c r="N82" s="10"/>
      <c r="O82" s="126"/>
      <c r="P82" s="10"/>
      <c r="Q82" s="10"/>
      <c r="R82" s="10"/>
      <c r="S82" s="10"/>
      <c r="T82" s="9"/>
      <c r="U82" s="38"/>
      <c r="V82" s="38"/>
      <c r="W82" s="38"/>
    </row>
    <row r="83" spans="1:23">
      <c r="A83" s="10"/>
      <c r="B83" s="2"/>
      <c r="G83" s="570"/>
      <c r="H83" s="570"/>
      <c r="I83" s="570"/>
      <c r="J83" s="570"/>
      <c r="K83" s="570"/>
      <c r="N83" s="10"/>
      <c r="O83" s="126"/>
      <c r="P83" s="10"/>
      <c r="Q83" s="10"/>
      <c r="R83" s="10"/>
      <c r="S83" s="10"/>
      <c r="T83" s="9"/>
      <c r="U83" s="38"/>
      <c r="V83" s="38"/>
      <c r="W83" s="38"/>
    </row>
    <row r="84" spans="1:23">
      <c r="A84" s="10"/>
      <c r="B84" s="2" t="s">
        <v>10</v>
      </c>
      <c r="C84" s="57" t="s">
        <v>942</v>
      </c>
      <c r="D84" s="596" t="str">
        <f>LOOKUP(D80,Explosive!J:J,Explosive!K:K)</f>
        <v>TNT</v>
      </c>
      <c r="E84" s="596"/>
      <c r="G84" s="570"/>
      <c r="H84" s="570" t="s">
        <v>951</v>
      </c>
      <c r="I84" s="92">
        <f>2/3*I81*1000000*(1+LN(2*I82*1000/I81))/1000000</f>
        <v>1227.1596874100524</v>
      </c>
      <c r="J84" s="570" t="s">
        <v>1130</v>
      </c>
      <c r="K84" s="570"/>
      <c r="L84" s="10"/>
      <c r="M84" s="10"/>
      <c r="N84" s="10"/>
      <c r="O84" s="126"/>
      <c r="P84" s="10"/>
      <c r="Q84" s="10"/>
      <c r="R84" s="10"/>
      <c r="S84" s="10"/>
      <c r="T84" s="38"/>
      <c r="U84" s="38"/>
      <c r="V84" s="38"/>
      <c r="W84" s="38"/>
    </row>
    <row r="85" spans="1:23">
      <c r="A85" s="10"/>
      <c r="B85" s="10"/>
      <c r="C85" s="10" t="s">
        <v>848</v>
      </c>
      <c r="D85" s="126">
        <f>LOOKUP(D80,Explosive!J:J,Explosive!W:W)</f>
        <v>5.8250664811651358</v>
      </c>
      <c r="E85" s="10" t="s">
        <v>953</v>
      </c>
      <c r="F85" s="10"/>
      <c r="G85" s="571"/>
      <c r="H85" s="571"/>
      <c r="I85" s="571"/>
      <c r="J85" s="571"/>
      <c r="K85" s="571"/>
      <c r="L85" s="10"/>
      <c r="M85" s="10"/>
      <c r="N85" s="10"/>
      <c r="O85" s="126"/>
      <c r="P85" s="10"/>
      <c r="Q85" s="10"/>
      <c r="R85" s="10"/>
      <c r="S85" s="10"/>
      <c r="T85" s="38"/>
      <c r="U85" s="38"/>
      <c r="V85" s="38"/>
      <c r="W85" s="38"/>
    </row>
    <row r="86" spans="1:23">
      <c r="A86" s="10"/>
      <c r="B86" s="10"/>
      <c r="C86" s="10"/>
      <c r="D86" s="10"/>
      <c r="E86" s="10"/>
      <c r="F86" s="10"/>
      <c r="G86" s="571"/>
      <c r="H86" s="571" t="s">
        <v>2324</v>
      </c>
      <c r="I86" s="236">
        <f>22.5*(D81*D85/5.83/I77)^0.72*100</f>
        <v>134.48052432532177</v>
      </c>
      <c r="J86" s="571" t="s">
        <v>2325</v>
      </c>
      <c r="K86" s="571"/>
      <c r="L86" s="10"/>
      <c r="M86" s="10"/>
      <c r="N86" s="10"/>
      <c r="O86" s="126"/>
      <c r="P86" s="10"/>
      <c r="Q86" s="10"/>
      <c r="R86" s="10"/>
      <c r="S86" s="10"/>
      <c r="T86" s="38"/>
      <c r="U86" s="38"/>
      <c r="V86" s="38"/>
      <c r="W86" s="38"/>
    </row>
    <row r="87" spans="1:23">
      <c r="A87" s="10"/>
      <c r="B87" s="10"/>
      <c r="C87" s="10"/>
      <c r="D87" s="10"/>
      <c r="E87" s="10"/>
      <c r="F87" s="10"/>
      <c r="G87" s="10"/>
      <c r="H87" s="571" t="s">
        <v>2326</v>
      </c>
      <c r="I87" s="10"/>
      <c r="J87" s="10"/>
      <c r="K87" s="10"/>
      <c r="L87" s="10"/>
      <c r="M87" s="10"/>
      <c r="N87" s="10"/>
      <c r="O87" s="126"/>
      <c r="P87" s="10"/>
      <c r="Q87" s="10"/>
      <c r="R87" s="10"/>
      <c r="S87" s="10"/>
      <c r="T87" s="38"/>
      <c r="U87" s="38"/>
      <c r="V87" s="38"/>
      <c r="W87" s="38"/>
    </row>
    <row r="88" spans="1:23" ht="14.25" customHeight="1">
      <c r="A88" s="10"/>
      <c r="B88" s="598" t="s">
        <v>1108</v>
      </c>
      <c r="C88" s="598"/>
      <c r="D88" s="598"/>
      <c r="E88" s="10"/>
      <c r="U88" s="38"/>
      <c r="V88" s="38"/>
      <c r="W88" s="38"/>
    </row>
    <row r="89" spans="1:23">
      <c r="A89" s="10"/>
      <c r="B89" s="598"/>
      <c r="C89" s="598"/>
      <c r="D89" s="598"/>
      <c r="E89" s="10"/>
      <c r="U89" s="7"/>
      <c r="V89" s="38"/>
      <c r="W89" s="116"/>
    </row>
    <row r="90" spans="1:23">
      <c r="A90" s="10"/>
      <c r="B90" s="10"/>
      <c r="C90" s="10"/>
      <c r="D90" s="10"/>
      <c r="E90" s="10"/>
      <c r="U90" s="6"/>
      <c r="V90" s="38"/>
      <c r="W90" s="116"/>
    </row>
    <row r="91" spans="1:23">
      <c r="A91" s="10"/>
      <c r="B91" s="155" t="s">
        <v>1127</v>
      </c>
      <c r="C91" s="155"/>
      <c r="D91" s="155"/>
      <c r="E91" s="155"/>
      <c r="U91" s="5"/>
      <c r="V91" s="38"/>
      <c r="W91" s="116"/>
    </row>
    <row r="92" spans="1:23">
      <c r="A92" s="10"/>
      <c r="B92" s="155"/>
      <c r="C92" s="155" t="s">
        <v>3</v>
      </c>
      <c r="D92" s="70">
        <v>69</v>
      </c>
      <c r="E92" s="155"/>
      <c r="U92" s="5"/>
      <c r="V92" s="38"/>
      <c r="W92" s="116"/>
    </row>
    <row r="93" spans="1:23">
      <c r="A93" s="10"/>
      <c r="B93" s="155"/>
      <c r="C93" s="155"/>
      <c r="D93" s="155"/>
      <c r="E93" s="155"/>
      <c r="U93" s="38"/>
      <c r="V93" s="38"/>
      <c r="W93" s="116"/>
    </row>
    <row r="94" spans="1:23">
      <c r="B94" t="s">
        <v>1128</v>
      </c>
    </row>
    <row r="95" spans="1:23">
      <c r="C95" t="s">
        <v>747</v>
      </c>
      <c r="D95" s="188">
        <v>1000</v>
      </c>
      <c r="E95" t="s">
        <v>2</v>
      </c>
    </row>
    <row r="96" spans="1:23" ht="14.25" customHeight="1">
      <c r="A96" s="74" t="s">
        <v>2182</v>
      </c>
      <c r="B96" s="81">
        <f>(D96-D95)/(2*D96)</f>
        <v>7.9577452549553517E-8</v>
      </c>
      <c r="C96" s="74" t="s">
        <v>5</v>
      </c>
      <c r="D96" s="81">
        <f>SQRT(1/PI()+D95^2)</f>
        <v>1000.0001591549304</v>
      </c>
      <c r="E96" s="74" t="s">
        <v>2</v>
      </c>
    </row>
    <row r="97" spans="2:20">
      <c r="B97" s="155" t="s">
        <v>346</v>
      </c>
      <c r="C97" s="155"/>
      <c r="D97" s="155"/>
      <c r="E97" s="155"/>
      <c r="F97" s="155" t="s">
        <v>947</v>
      </c>
      <c r="G97" s="10"/>
      <c r="H97" s="10"/>
      <c r="I97" s="10"/>
      <c r="J97" s="10"/>
      <c r="K97" s="10"/>
      <c r="L97" s="10"/>
      <c r="N97" s="10"/>
      <c r="O97" s="126"/>
      <c r="P97" s="10"/>
      <c r="Q97" s="10"/>
      <c r="R97" s="10"/>
      <c r="S97" s="10"/>
      <c r="T97" s="38"/>
    </row>
    <row r="98" spans="2:20">
      <c r="B98" s="155"/>
      <c r="C98" s="57" t="s">
        <v>3</v>
      </c>
      <c r="D98" s="596" t="str">
        <f>LOOKUP(D92,Material!$A:$A,Material!$B:$B)</f>
        <v>Silicon Carbide</v>
      </c>
      <c r="E98" s="596"/>
      <c r="F98" s="10"/>
      <c r="G98" s="10" t="s">
        <v>1188</v>
      </c>
      <c r="H98" s="10"/>
      <c r="I98" s="10"/>
      <c r="J98" s="10"/>
      <c r="K98" s="10"/>
      <c r="L98" s="10"/>
      <c r="M98" s="155" t="s">
        <v>29</v>
      </c>
      <c r="N98" s="10"/>
      <c r="O98" s="126"/>
      <c r="P98" s="10"/>
      <c r="Q98" s="10"/>
      <c r="R98" s="10"/>
      <c r="S98" s="10"/>
      <c r="T98" s="38"/>
    </row>
    <row r="99" spans="2:20">
      <c r="B99" s="155"/>
      <c r="C99" s="155" t="s">
        <v>949</v>
      </c>
      <c r="D99" s="5">
        <f>LOOKUP(D92,Materials[Refe-rence],Materials[Ultimate Tensile Strength (Mpa)])</f>
        <v>137.9</v>
      </c>
      <c r="E99" s="155" t="s">
        <v>21</v>
      </c>
      <c r="F99" s="10"/>
      <c r="G99" s="10"/>
      <c r="H99" s="10" t="s">
        <v>1125</v>
      </c>
      <c r="I99" s="161">
        <v>1</v>
      </c>
      <c r="J99" s="10" t="s">
        <v>1126</v>
      </c>
      <c r="K99" s="10"/>
      <c r="L99" s="10"/>
      <c r="M99" s="10"/>
      <c r="N99" s="10" t="s">
        <v>1129</v>
      </c>
      <c r="O99" s="126">
        <f>(I99*4190000000000)*0.83*B96/($D$102*1000000)</f>
        <v>3.3969502149166765E-4</v>
      </c>
      <c r="P99" s="10" t="s">
        <v>850</v>
      </c>
      <c r="R99" s="171" t="s">
        <v>2183</v>
      </c>
      <c r="S99" s="126">
        <f>(O99*3/(2*PI()))^(1/3)</f>
        <v>5.4535193209756923E-2</v>
      </c>
      <c r="T99" s="38" t="s">
        <v>2</v>
      </c>
    </row>
    <row r="100" spans="2:20">
      <c r="B100" s="155"/>
      <c r="C100" s="117" t="s">
        <v>950</v>
      </c>
      <c r="D100" s="155">
        <f>LOOKUP(D92,Materials[[#All],[Refe-rence]],Materials[[#All],[Shear Modulus (Gpa)]])</f>
        <v>179</v>
      </c>
      <c r="E100" s="155" t="s">
        <v>788</v>
      </c>
      <c r="F100" s="155"/>
      <c r="G100" s="10" t="s">
        <v>346</v>
      </c>
      <c r="H100" s="10"/>
      <c r="I100" s="10"/>
      <c r="J100" s="10"/>
      <c r="K100" s="10"/>
      <c r="L100" s="10"/>
      <c r="M100" s="10"/>
      <c r="N100" s="10" t="s">
        <v>11</v>
      </c>
      <c r="O100" s="1">
        <f>MIN(O99,S99)</f>
        <v>3.3969502149166765E-4</v>
      </c>
      <c r="P100" t="s">
        <v>2</v>
      </c>
      <c r="Q100" s="10"/>
      <c r="R100" s="10"/>
      <c r="S100" s="10"/>
      <c r="T100" s="38"/>
    </row>
    <row r="101" spans="2:20">
      <c r="F101" s="155"/>
      <c r="G101" s="10"/>
      <c r="H101" s="10" t="s">
        <v>1135</v>
      </c>
      <c r="I101" s="178">
        <f>267000000000*I99/$D$95^2</f>
        <v>267000</v>
      </c>
      <c r="J101" s="10"/>
      <c r="K101" s="10"/>
      <c r="L101" s="10"/>
      <c r="M101" s="10"/>
      <c r="O101" s="126">
        <f>O100*1000</f>
        <v>0.33969502149166764</v>
      </c>
      <c r="P101" s="10" t="s">
        <v>12</v>
      </c>
      <c r="Q101" s="10"/>
      <c r="R101" s="10"/>
      <c r="S101" s="10"/>
      <c r="T101" s="38"/>
    </row>
    <row r="102" spans="2:20">
      <c r="C102" s="155" t="s">
        <v>951</v>
      </c>
      <c r="D102" s="92">
        <f>2/3*D99*1000000*(1+LN(2*D100*1000/D99))/1000000</f>
        <v>814.69108824831733</v>
      </c>
      <c r="E102" s="155" t="s">
        <v>1130</v>
      </c>
      <c r="F102" s="155"/>
      <c r="G102" s="10"/>
      <c r="H102" s="168" t="s">
        <v>1132</v>
      </c>
      <c r="I102">
        <f>1.8E+23*I99/$D$95^2</f>
        <v>1.8E+17</v>
      </c>
      <c r="K102" s="10"/>
      <c r="L102" s="10"/>
      <c r="M102" s="10"/>
      <c r="Q102" s="10"/>
      <c r="R102" s="10"/>
      <c r="S102" s="10"/>
      <c r="T102" s="38"/>
    </row>
    <row r="103" spans="2:20">
      <c r="F103" s="155"/>
      <c r="G103" s="756" t="s">
        <v>1189</v>
      </c>
      <c r="H103" s="10" t="s">
        <v>1133</v>
      </c>
      <c r="I103" s="236">
        <f>I101*0.445/68</f>
        <v>1747.2794117647059</v>
      </c>
      <c r="J103" s="10" t="s">
        <v>1134</v>
      </c>
      <c r="M103" s="596" t="s">
        <v>1202</v>
      </c>
      <c r="N103" t="s">
        <v>1203</v>
      </c>
      <c r="O103" s="1">
        <f>I103*0.5^($D$107/LOOKUP($D$106,'Rad.Shd'!B:B,'Rad.Shd'!I:I))*0.5^($D$110/LOOKUP($D$109,'Rad.Shd'!B:B,'Rad.Shd'!I:I))</f>
        <v>219.51968495683084</v>
      </c>
      <c r="P103" t="s">
        <v>1134</v>
      </c>
      <c r="S103" s="1">
        <f>O103*1</f>
        <v>219.51968495683084</v>
      </c>
      <c r="T103" t="s">
        <v>1240</v>
      </c>
    </row>
    <row r="104" spans="2:20">
      <c r="F104" s="156"/>
      <c r="G104" s="756"/>
      <c r="H104" s="168" t="s">
        <v>1136</v>
      </c>
      <c r="I104" s="167">
        <f>I102/250000000000000</f>
        <v>720</v>
      </c>
      <c r="J104" t="s">
        <v>1134</v>
      </c>
      <c r="M104" s="596"/>
      <c r="N104" t="s">
        <v>1204</v>
      </c>
      <c r="O104" s="1">
        <f>I104*0.5^($D$107/LOOKUP($D$106,'Rad.Shd'!B:B,'Rad.Shd'!E:E))*0.5^($D$110/LOOKUP($D$109,'Rad.Shd'!B:B,'Rad.Shd'!E:E))</f>
        <v>2.7815272222014536E-27</v>
      </c>
      <c r="P104" t="s">
        <v>1134</v>
      </c>
      <c r="Q104" s="38"/>
      <c r="R104" s="38"/>
      <c r="S104" s="1">
        <f>O104*10.5</f>
        <v>2.9206035833115264E-26</v>
      </c>
      <c r="T104" s="38" t="s">
        <v>1240</v>
      </c>
    </row>
    <row r="105" spans="2:20">
      <c r="B105" t="s">
        <v>1842</v>
      </c>
      <c r="F105" s="155"/>
      <c r="Q105" s="9"/>
      <c r="R105" s="9"/>
      <c r="S105" s="9"/>
      <c r="T105" s="9"/>
    </row>
    <row r="106" spans="2:20">
      <c r="B106" t="s">
        <v>1205</v>
      </c>
      <c r="C106" t="s">
        <v>1200</v>
      </c>
      <c r="D106" s="184">
        <v>6</v>
      </c>
      <c r="F106" s="155"/>
      <c r="G106" s="163" t="s">
        <v>1187</v>
      </c>
      <c r="H106" s="163"/>
      <c r="I106" s="163"/>
      <c r="J106" s="163"/>
      <c r="K106" s="163"/>
      <c r="L106" s="163"/>
      <c r="M106" s="162" t="s">
        <v>29</v>
      </c>
      <c r="N106" s="163"/>
      <c r="O106" s="126"/>
      <c r="P106" s="163"/>
      <c r="Q106" s="9"/>
      <c r="R106" s="9"/>
      <c r="S106" s="9"/>
      <c r="T106" s="9"/>
    </row>
    <row r="107" spans="2:20">
      <c r="C107" t="s">
        <v>801</v>
      </c>
      <c r="D107" s="184">
        <v>0.2</v>
      </c>
      <c r="E107" t="s">
        <v>2</v>
      </c>
      <c r="G107" s="163"/>
      <c r="H107" s="163" t="s">
        <v>1125</v>
      </c>
      <c r="I107" s="161">
        <v>1</v>
      </c>
      <c r="J107" s="163" t="s">
        <v>1126</v>
      </c>
      <c r="K107" s="163"/>
      <c r="L107" s="163"/>
      <c r="M107" s="163"/>
      <c r="N107" s="163" t="s">
        <v>1129</v>
      </c>
      <c r="O107" s="126">
        <f>(I107*4190000000000)*0.2*B96/($D$102*1000000)</f>
        <v>8.185422204618498E-5</v>
      </c>
      <c r="P107" s="163" t="s">
        <v>2</v>
      </c>
      <c r="R107" s="171" t="s">
        <v>2183</v>
      </c>
      <c r="S107" s="126">
        <f>(O107*3/(2*PI()))^(1/3)</f>
        <v>3.3936013495077043E-2</v>
      </c>
      <c r="T107" t="s">
        <v>2</v>
      </c>
    </row>
    <row r="108" spans="2:20">
      <c r="G108" s="168" t="s">
        <v>346</v>
      </c>
      <c r="H108" s="163"/>
      <c r="I108" s="163"/>
      <c r="J108" s="163"/>
      <c r="K108" s="163"/>
      <c r="L108" s="163"/>
      <c r="M108" s="163"/>
      <c r="N108" s="514" t="s">
        <v>11</v>
      </c>
      <c r="O108" s="1">
        <f>MIN(O107,S107)</f>
        <v>8.185422204618498E-5</v>
      </c>
      <c r="P108" s="515" t="s">
        <v>2</v>
      </c>
    </row>
    <row r="109" spans="2:20">
      <c r="B109" t="s">
        <v>1206</v>
      </c>
      <c r="C109" s="238" t="s">
        <v>1200</v>
      </c>
      <c r="D109" s="184">
        <v>5</v>
      </c>
      <c r="E109" s="238"/>
      <c r="H109" s="168" t="s">
        <v>1135</v>
      </c>
      <c r="I109" s="178">
        <f>267000000000*I107/$D$95^2/4</f>
        <v>66750</v>
      </c>
      <c r="J109" s="168"/>
      <c r="N109" s="515"/>
      <c r="O109" s="126">
        <f>O108*1000</f>
        <v>8.1854222046184977E-2</v>
      </c>
      <c r="P109" s="514" t="s">
        <v>12</v>
      </c>
    </row>
    <row r="110" spans="2:20">
      <c r="C110" s="238" t="s">
        <v>801</v>
      </c>
      <c r="D110" s="184">
        <v>0.01</v>
      </c>
      <c r="E110" s="238" t="s">
        <v>2</v>
      </c>
      <c r="H110" s="168" t="s">
        <v>1132</v>
      </c>
      <c r="I110" s="164">
        <f>1.8E+23*I107/$D$95^2*4</f>
        <v>7.2E+17</v>
      </c>
      <c r="J110" s="164"/>
    </row>
    <row r="111" spans="2:20">
      <c r="G111" s="756" t="s">
        <v>1189</v>
      </c>
      <c r="H111" s="168" t="s">
        <v>1133</v>
      </c>
      <c r="I111" s="236">
        <f>I109*0.445/68</f>
        <v>436.81985294117646</v>
      </c>
      <c r="J111" s="168" t="s">
        <v>1134</v>
      </c>
      <c r="M111" s="596" t="s">
        <v>1202</v>
      </c>
      <c r="N111" s="238" t="s">
        <v>1203</v>
      </c>
      <c r="O111" s="1">
        <f>I111*0.5^($D$107/LOOKUP($D$106,'Rad.Shd'!B:B,'Rad.Shd'!I:I))*0.5^($D$110/LOOKUP($D$109,'Rad.Shd'!B:B,'Rad.Shd'!I:I))</f>
        <v>54.879921239207711</v>
      </c>
      <c r="P111" s="238" t="s">
        <v>1134</v>
      </c>
      <c r="S111" s="1">
        <f>O111*1</f>
        <v>54.879921239207711</v>
      </c>
      <c r="T111" s="239" t="s">
        <v>1240</v>
      </c>
    </row>
    <row r="112" spans="2:20">
      <c r="B112" s="2" t="s">
        <v>10</v>
      </c>
      <c r="G112" s="756"/>
      <c r="H112" s="168" t="s">
        <v>1136</v>
      </c>
      <c r="I112" s="167">
        <f>I110/250000000000000</f>
        <v>2880</v>
      </c>
      <c r="J112" s="164" t="s">
        <v>1134</v>
      </c>
      <c r="M112" s="596"/>
      <c r="N112" s="238" t="s">
        <v>1204</v>
      </c>
      <c r="O112" s="1">
        <f>I112*0.5^($D$107/LOOKUP($D$106,'Rad.Shd'!B:B,'Rad.Shd'!E:E))*0.5^($D$110/LOOKUP($D$109,'Rad.Shd'!B:B,'Rad.Shd'!E:E))</f>
        <v>1.1126108888805814E-26</v>
      </c>
      <c r="P112" s="238" t="s">
        <v>1134</v>
      </c>
      <c r="S112" s="1">
        <f>O112*10.5</f>
        <v>1.1682414333246106E-25</v>
      </c>
      <c r="T112" s="239" t="s">
        <v>1240</v>
      </c>
    </row>
    <row r="113" spans="2:5">
      <c r="B113" t="s">
        <v>1207</v>
      </c>
      <c r="C113" s="596" t="str">
        <f>LOOKUP(D106,'Rad.Shd'!B:B,'Rad.Shd'!C:C)</f>
        <v>Lithium Hydroxide</v>
      </c>
      <c r="D113" s="596"/>
    </row>
    <row r="114" spans="2:5">
      <c r="C114" t="s">
        <v>1208</v>
      </c>
      <c r="D114" s="1">
        <f>LOOKUP(D106,'Rad.Shd'!B:B,'Rad.Shd'!D:D)*D107</f>
        <v>292</v>
      </c>
      <c r="E114" t="s">
        <v>1209</v>
      </c>
    </row>
    <row r="115" spans="2:5">
      <c r="B115" s="2"/>
      <c r="C115" s="238"/>
      <c r="D115" s="238"/>
      <c r="E115" s="238"/>
    </row>
    <row r="116" spans="2:5">
      <c r="B116" s="238" t="s">
        <v>1210</v>
      </c>
      <c r="C116" s="596" t="str">
        <f>LOOKUP(D109,'Rad.Shd'!B:B,'Rad.Shd'!C:C)</f>
        <v xml:space="preserve">Lead </v>
      </c>
      <c r="D116" s="596"/>
      <c r="E116" s="238"/>
    </row>
    <row r="117" spans="2:5">
      <c r="B117" s="238"/>
      <c r="C117" s="238" t="s">
        <v>1208</v>
      </c>
      <c r="D117" s="1">
        <f>LOOKUP(D109,'Rad.Shd'!B:B,'Rad.Shd'!D:D)*D110</f>
        <v>113.4</v>
      </c>
      <c r="E117" s="238" t="s">
        <v>1209</v>
      </c>
    </row>
    <row r="120" spans="2:5">
      <c r="B120" s="616" t="s">
        <v>1575</v>
      </c>
      <c r="C120" s="616"/>
      <c r="D120" s="616"/>
    </row>
    <row r="121" spans="2:5">
      <c r="B121" s="616"/>
      <c r="C121" s="616"/>
      <c r="D121" s="616"/>
    </row>
    <row r="122" spans="2:5">
      <c r="B122" s="616"/>
      <c r="C122" s="616"/>
      <c r="D122" s="616"/>
    </row>
  </sheetData>
  <mergeCells count="34">
    <mergeCell ref="I80:J80"/>
    <mergeCell ref="D98:E98"/>
    <mergeCell ref="B120:D122"/>
    <mergeCell ref="M103:M104"/>
    <mergeCell ref="M111:M112"/>
    <mergeCell ref="C113:D113"/>
    <mergeCell ref="C116:D116"/>
    <mergeCell ref="G103:G104"/>
    <mergeCell ref="G111:G112"/>
    <mergeCell ref="B88:D89"/>
    <mergeCell ref="A1:E2"/>
    <mergeCell ref="D84:E84"/>
    <mergeCell ref="B66:D70"/>
    <mergeCell ref="D21:E21"/>
    <mergeCell ref="B47:D51"/>
    <mergeCell ref="D60:F60"/>
    <mergeCell ref="B74:D77"/>
    <mergeCell ref="B32:D44"/>
    <mergeCell ref="B4:D11"/>
    <mergeCell ref="I64:K64"/>
    <mergeCell ref="T3:U3"/>
    <mergeCell ref="T5:U5"/>
    <mergeCell ref="J27:M27"/>
    <mergeCell ref="J32:M32"/>
    <mergeCell ref="J37:M37"/>
    <mergeCell ref="J13:L13"/>
    <mergeCell ref="W5:X5"/>
    <mergeCell ref="I55:J55"/>
    <mergeCell ref="P28:Q28"/>
    <mergeCell ref="P33:Q33"/>
    <mergeCell ref="J7:K7"/>
    <mergeCell ref="P38:Q38"/>
    <mergeCell ref="J42:M42"/>
    <mergeCell ref="P43:Q43"/>
  </mergeCells>
  <conditionalFormatting sqref="W89:W93">
    <cfRule type="dataBar" priority="11">
      <dataBar>
        <cfvo type="num" val="0"/>
        <cfvo type="num" val="1"/>
        <color rgb="FF638EC6"/>
      </dataBar>
      <extLst>
        <ext xmlns:x14="http://schemas.microsoft.com/office/spreadsheetml/2009/9/main" uri="{B025F937-C7B1-47D3-B67F-A62EFF666E3E}">
          <x14:id>{D3E15A0A-D677-40FE-9E9D-D490519AA3DC}</x14:id>
        </ext>
      </extLst>
    </cfRule>
    <cfRule type="dataBar" priority="12">
      <dataBar>
        <cfvo type="min"/>
        <cfvo type="max"/>
        <color rgb="FF638EC6"/>
      </dataBar>
      <extLst>
        <ext xmlns:x14="http://schemas.microsoft.com/office/spreadsheetml/2009/9/main" uri="{B025F937-C7B1-47D3-B67F-A62EFF666E3E}">
          <x14:id>{3388E9B0-7ECE-484D-A0C1-ED1E92F90AA7}</x14:id>
        </ext>
      </extLst>
    </cfRule>
  </conditionalFormatting>
  <conditionalFormatting sqref="V39:V40">
    <cfRule type="dataBar" priority="7">
      <dataBar>
        <cfvo type="num" val="0"/>
        <cfvo type="num" val="1"/>
        <color rgb="FF638EC6"/>
      </dataBar>
      <extLst>
        <ext xmlns:x14="http://schemas.microsoft.com/office/spreadsheetml/2009/9/main" uri="{B025F937-C7B1-47D3-B67F-A62EFF666E3E}">
          <x14:id>{7836EFFC-6EF0-4541-815D-5E9BAAB56138}</x14:id>
        </ext>
      </extLst>
    </cfRule>
    <cfRule type="dataBar" priority="8">
      <dataBar>
        <cfvo type="min"/>
        <cfvo type="max"/>
        <color rgb="FF638EC6"/>
      </dataBar>
      <extLst>
        <ext xmlns:x14="http://schemas.microsoft.com/office/spreadsheetml/2009/9/main" uri="{B025F937-C7B1-47D3-B67F-A62EFF666E3E}">
          <x14:id>{342E1A66-B7A1-4D87-84FC-366DC7B43D81}</x14:id>
        </ext>
      </extLst>
    </cfRule>
  </conditionalFormatting>
  <conditionalFormatting sqref="V44:V45">
    <cfRule type="dataBar" priority="5">
      <dataBar>
        <cfvo type="num" val="0"/>
        <cfvo type="num" val="1"/>
        <color rgb="FF638EC6"/>
      </dataBar>
      <extLst>
        <ext xmlns:x14="http://schemas.microsoft.com/office/spreadsheetml/2009/9/main" uri="{B025F937-C7B1-47D3-B67F-A62EFF666E3E}">
          <x14:id>{DAC80B1D-5D39-4F82-88E6-E3C1B038A74F}</x14:id>
        </ext>
      </extLst>
    </cfRule>
    <cfRule type="dataBar" priority="6">
      <dataBar>
        <cfvo type="min"/>
        <cfvo type="max"/>
        <color rgb="FF638EC6"/>
      </dataBar>
      <extLst>
        <ext xmlns:x14="http://schemas.microsoft.com/office/spreadsheetml/2009/9/main" uri="{B025F937-C7B1-47D3-B67F-A62EFF666E3E}">
          <x14:id>{B172B449-A7B2-4E08-8724-25AD9445D47E}</x14:id>
        </ext>
      </extLst>
    </cfRule>
  </conditionalFormatting>
  <conditionalFormatting sqref="V36:V38">
    <cfRule type="dataBar" priority="3">
      <dataBar>
        <cfvo type="num" val="0"/>
        <cfvo type="num" val="1"/>
        <color rgb="FF638EC6"/>
      </dataBar>
      <extLst>
        <ext xmlns:x14="http://schemas.microsoft.com/office/spreadsheetml/2009/9/main" uri="{B025F937-C7B1-47D3-B67F-A62EFF666E3E}">
          <x14:id>{18EA3660-9927-4C38-8C02-F3A0C814D1BB}</x14:id>
        </ext>
      </extLst>
    </cfRule>
    <cfRule type="dataBar" priority="4">
      <dataBar>
        <cfvo type="min"/>
        <cfvo type="max"/>
        <color rgb="FF638EC6"/>
      </dataBar>
      <extLst>
        <ext xmlns:x14="http://schemas.microsoft.com/office/spreadsheetml/2009/9/main" uri="{B025F937-C7B1-47D3-B67F-A62EFF666E3E}">
          <x14:id>{CE649A64-E032-4755-BA23-2C95F41CA9A4}</x14:id>
        </ext>
      </extLst>
    </cfRule>
  </conditionalFormatting>
  <conditionalFormatting sqref="V41:V43">
    <cfRule type="dataBar" priority="1">
      <dataBar>
        <cfvo type="num" val="0"/>
        <cfvo type="num" val="1"/>
        <color rgb="FF638EC6"/>
      </dataBar>
      <extLst>
        <ext xmlns:x14="http://schemas.microsoft.com/office/spreadsheetml/2009/9/main" uri="{B025F937-C7B1-47D3-B67F-A62EFF666E3E}">
          <x14:id>{019EB360-4E95-4E90-B323-C4409C026016}</x14:id>
        </ext>
      </extLst>
    </cfRule>
    <cfRule type="dataBar" priority="2">
      <dataBar>
        <cfvo type="min"/>
        <cfvo type="max"/>
        <color rgb="FF638EC6"/>
      </dataBar>
      <extLst>
        <ext xmlns:x14="http://schemas.microsoft.com/office/spreadsheetml/2009/9/main" uri="{B025F937-C7B1-47D3-B67F-A62EFF666E3E}">
          <x14:id>{D76B31FB-D33A-400B-BB07-227900C83A8E}</x14:id>
        </ext>
      </extLst>
    </cfRule>
  </conditionalFormatting>
  <conditionalFormatting sqref="V31:V35 V26">
    <cfRule type="dataBar" priority="15">
      <dataBar>
        <cfvo type="num" val="0"/>
        <cfvo type="num" val="1"/>
        <color rgb="FF638EC6"/>
      </dataBar>
      <extLst>
        <ext xmlns:x14="http://schemas.microsoft.com/office/spreadsheetml/2009/9/main" uri="{B025F937-C7B1-47D3-B67F-A62EFF666E3E}">
          <x14:id>{2E40C134-5058-49BC-B478-43FCFEA699C3}</x14:id>
        </ext>
      </extLst>
    </cfRule>
    <cfRule type="dataBar" priority="16">
      <dataBar>
        <cfvo type="min"/>
        <cfvo type="max"/>
        <color rgb="FF638EC6"/>
      </dataBar>
      <extLst>
        <ext xmlns:x14="http://schemas.microsoft.com/office/spreadsheetml/2009/9/main" uri="{B025F937-C7B1-47D3-B67F-A62EFF666E3E}">
          <x14:id>{FDBD6EB9-ED31-4FC5-A15F-743DE6CC2A46}</x14:id>
        </ext>
      </extLst>
    </cfRule>
  </conditionalFormatting>
  <dataValidations count="4">
    <dataValidation type="decimal" operator="greaterThan" allowBlank="1" showInputMessage="1" showErrorMessage="1" sqref="D19 I33:I35 D55:D56 D29:D31 D15:D17 I28:I30 I38:I40 I43:I45 D81 D95 I99 I107 D107" xr:uid="{58A4D866-CCAE-4054-934B-40FC14F83BA5}">
      <formula1>0</formula1>
    </dataValidation>
    <dataValidation type="whole" operator="greaterThan" allowBlank="1" showInputMessage="1" showErrorMessage="1" sqref="I7 D14 I27 I37 I32 I12 I42 D54 I52 I60 D80 I76 D92 D106 D109" xr:uid="{A7DCBEF4-C528-4870-9C2D-DF3FFCA710AF}">
      <formula1>0</formula1>
    </dataValidation>
    <dataValidation type="decimal" allowBlank="1" showInputMessage="1" showErrorMessage="1" sqref="D57 D18" xr:uid="{AB13D0D3-697A-4531-96D0-21EF191DD2B4}">
      <formula1>0</formula1>
      <formula2>90</formula2>
    </dataValidation>
    <dataValidation type="decimal" operator="greaterThanOrEqual" allowBlank="1" showInputMessage="1" showErrorMessage="1" sqref="D110" xr:uid="{454FB263-11EA-4359-ADEC-3AB327BE3501}">
      <formula1>0</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E15A0A-D677-40FE-9E9D-D490519AA3DC}">
            <x14:dataBar minLength="0" maxLength="100" gradient="0">
              <x14:cfvo type="num">
                <xm:f>0</xm:f>
              </x14:cfvo>
              <x14:cfvo type="num">
                <xm:f>1</xm:f>
              </x14:cfvo>
              <x14:negativeFillColor rgb="FFFF0000"/>
              <x14:axisColor rgb="FF000000"/>
            </x14:dataBar>
          </x14:cfRule>
          <x14:cfRule type="dataBar" id="{3388E9B0-7ECE-484D-A0C1-ED1E92F90AA7}">
            <x14:dataBar minLength="0" maxLength="100" gradient="0">
              <x14:cfvo type="autoMin"/>
              <x14:cfvo type="autoMax"/>
              <x14:negativeFillColor rgb="FFFF0000"/>
              <x14:axisColor rgb="FF000000"/>
            </x14:dataBar>
          </x14:cfRule>
          <xm:sqref>W89:W93</xm:sqref>
        </x14:conditionalFormatting>
        <x14:conditionalFormatting xmlns:xm="http://schemas.microsoft.com/office/excel/2006/main">
          <x14:cfRule type="dataBar" id="{7836EFFC-6EF0-4541-815D-5E9BAAB56138}">
            <x14:dataBar minLength="0" maxLength="100" gradient="0">
              <x14:cfvo type="num">
                <xm:f>0</xm:f>
              </x14:cfvo>
              <x14:cfvo type="num">
                <xm:f>1</xm:f>
              </x14:cfvo>
              <x14:negativeFillColor rgb="FFFF0000"/>
              <x14:axisColor rgb="FF000000"/>
            </x14:dataBar>
          </x14:cfRule>
          <x14:cfRule type="dataBar" id="{342E1A66-B7A1-4D87-84FC-366DC7B43D81}">
            <x14:dataBar minLength="0" maxLength="100" gradient="0">
              <x14:cfvo type="autoMin"/>
              <x14:cfvo type="autoMax"/>
              <x14:negativeFillColor rgb="FFFF0000"/>
              <x14:axisColor rgb="FF000000"/>
            </x14:dataBar>
          </x14:cfRule>
          <xm:sqref>V39:V40</xm:sqref>
        </x14:conditionalFormatting>
        <x14:conditionalFormatting xmlns:xm="http://schemas.microsoft.com/office/excel/2006/main">
          <x14:cfRule type="dataBar" id="{DAC80B1D-5D39-4F82-88E6-E3C1B038A74F}">
            <x14:dataBar minLength="0" maxLength="100" gradient="0">
              <x14:cfvo type="num">
                <xm:f>0</xm:f>
              </x14:cfvo>
              <x14:cfvo type="num">
                <xm:f>1</xm:f>
              </x14:cfvo>
              <x14:negativeFillColor rgb="FFFF0000"/>
              <x14:axisColor rgb="FF000000"/>
            </x14:dataBar>
          </x14:cfRule>
          <x14:cfRule type="dataBar" id="{B172B449-A7B2-4E08-8724-25AD9445D47E}">
            <x14:dataBar minLength="0" maxLength="100" gradient="0">
              <x14:cfvo type="autoMin"/>
              <x14:cfvo type="autoMax"/>
              <x14:negativeFillColor rgb="FFFF0000"/>
              <x14:axisColor rgb="FF000000"/>
            </x14:dataBar>
          </x14:cfRule>
          <xm:sqref>V44:V45</xm:sqref>
        </x14:conditionalFormatting>
        <x14:conditionalFormatting xmlns:xm="http://schemas.microsoft.com/office/excel/2006/main">
          <x14:cfRule type="dataBar" id="{18EA3660-9927-4C38-8C02-F3A0C814D1BB}">
            <x14:dataBar minLength="0" maxLength="100" gradient="0">
              <x14:cfvo type="num">
                <xm:f>0</xm:f>
              </x14:cfvo>
              <x14:cfvo type="num">
                <xm:f>1</xm:f>
              </x14:cfvo>
              <x14:negativeFillColor rgb="FFFF0000"/>
              <x14:axisColor rgb="FF000000"/>
            </x14:dataBar>
          </x14:cfRule>
          <x14:cfRule type="dataBar" id="{CE649A64-E032-4755-BA23-2C95F41CA9A4}">
            <x14:dataBar minLength="0" maxLength="100" gradient="0">
              <x14:cfvo type="autoMin"/>
              <x14:cfvo type="autoMax"/>
              <x14:negativeFillColor rgb="FFFF0000"/>
              <x14:axisColor rgb="FF000000"/>
            </x14:dataBar>
          </x14:cfRule>
          <xm:sqref>V36:V38</xm:sqref>
        </x14:conditionalFormatting>
        <x14:conditionalFormatting xmlns:xm="http://schemas.microsoft.com/office/excel/2006/main">
          <x14:cfRule type="dataBar" id="{019EB360-4E95-4E90-B323-C4409C026016}">
            <x14:dataBar minLength="0" maxLength="100" gradient="0">
              <x14:cfvo type="num">
                <xm:f>0</xm:f>
              </x14:cfvo>
              <x14:cfvo type="num">
                <xm:f>1</xm:f>
              </x14:cfvo>
              <x14:negativeFillColor rgb="FFFF0000"/>
              <x14:axisColor rgb="FF000000"/>
            </x14:dataBar>
          </x14:cfRule>
          <x14:cfRule type="dataBar" id="{D76B31FB-D33A-400B-BB07-227900C83A8E}">
            <x14:dataBar minLength="0" maxLength="100" gradient="0">
              <x14:cfvo type="autoMin"/>
              <x14:cfvo type="autoMax"/>
              <x14:negativeFillColor rgb="FFFF0000"/>
              <x14:axisColor rgb="FF000000"/>
            </x14:dataBar>
          </x14:cfRule>
          <xm:sqref>V41:V43</xm:sqref>
        </x14:conditionalFormatting>
        <x14:conditionalFormatting xmlns:xm="http://schemas.microsoft.com/office/excel/2006/main">
          <x14:cfRule type="dataBar" id="{2E40C134-5058-49BC-B478-43FCFEA699C3}">
            <x14:dataBar minLength="0" maxLength="100" gradient="0">
              <x14:cfvo type="num">
                <xm:f>0</xm:f>
              </x14:cfvo>
              <x14:cfvo type="num">
                <xm:f>1</xm:f>
              </x14:cfvo>
              <x14:negativeFillColor rgb="FFFF0000"/>
              <x14:axisColor rgb="FF000000"/>
            </x14:dataBar>
          </x14:cfRule>
          <x14:cfRule type="dataBar" id="{FDBD6EB9-ED31-4FC5-A15F-743DE6CC2A46}">
            <x14:dataBar minLength="0" maxLength="100" gradient="0">
              <x14:cfvo type="autoMin"/>
              <x14:cfvo type="autoMax"/>
              <x14:negativeFillColor rgb="FFFF0000"/>
              <x14:axisColor rgb="FF000000"/>
            </x14:dataBar>
          </x14:cfRule>
          <xm:sqref>V31:V35 V26</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16CB-BEFF-4880-8DD5-38171742F9CC}">
  <sheetPr codeName="Sheet9">
    <tabColor theme="7"/>
  </sheetPr>
  <dimension ref="B1:R34"/>
  <sheetViews>
    <sheetView workbookViewId="0"/>
  </sheetViews>
  <sheetFormatPr defaultRowHeight="14.25"/>
  <cols>
    <col min="4" max="4" width="9.265625" bestFit="1" customWidth="1"/>
    <col min="5" max="5" width="3.53125" customWidth="1"/>
    <col min="6" max="6" width="4.265625" customWidth="1"/>
    <col min="7" max="7" width="15.46484375" customWidth="1"/>
    <col min="8" max="8" width="3.3984375" customWidth="1"/>
    <col min="10" max="10" width="9.265625" customWidth="1"/>
    <col min="11" max="11" width="3.6640625" customWidth="1"/>
    <col min="13" max="13" width="2.73046875" customWidth="1"/>
    <col min="14" max="14" width="5.46484375" customWidth="1"/>
    <col min="15" max="15" width="6.1328125" customWidth="1"/>
    <col min="16" max="16" width="7.33203125" customWidth="1"/>
    <col min="17" max="17" width="8.19921875" customWidth="1"/>
    <col min="18" max="18" width="6.6640625" customWidth="1"/>
  </cols>
  <sheetData>
    <row r="1" spans="2:18" s="274" customFormat="1"/>
    <row r="2" spans="2:18" s="274" customFormat="1">
      <c r="B2" s="616" t="s">
        <v>1534</v>
      </c>
      <c r="C2" s="616"/>
      <c r="D2" s="616"/>
      <c r="E2" s="616"/>
      <c r="F2" s="616"/>
      <c r="G2" s="616"/>
    </row>
    <row r="3" spans="2:18" s="274" customFormat="1">
      <c r="B3" s="616"/>
      <c r="C3" s="616"/>
      <c r="D3" s="616"/>
      <c r="E3" s="616"/>
      <c r="F3" s="616"/>
      <c r="G3" s="616"/>
    </row>
    <row r="5" spans="2:18">
      <c r="B5" t="s">
        <v>772</v>
      </c>
    </row>
    <row r="6" spans="2:18">
      <c r="C6" t="s">
        <v>773</v>
      </c>
      <c r="D6" s="70">
        <v>32</v>
      </c>
      <c r="E6" t="s">
        <v>775</v>
      </c>
      <c r="F6" s="596" t="str">
        <f>LOOKUP(D6,Material!A:A,Material!B:B)</f>
        <v>Hydrogen</v>
      </c>
      <c r="G6" s="596"/>
      <c r="H6" s="10"/>
      <c r="I6" s="74" t="s">
        <v>816</v>
      </c>
      <c r="J6" s="75">
        <f>LOOKUP(D6,Materials[[#All],[Refe-rence]],Materials[[#All],[Boiling Point (K)]])</f>
        <v>20.28</v>
      </c>
      <c r="K6" s="74" t="s">
        <v>394</v>
      </c>
      <c r="L6" s="74"/>
      <c r="N6" t="s">
        <v>2205</v>
      </c>
      <c r="O6" t="s">
        <v>2206</v>
      </c>
      <c r="P6" t="s">
        <v>684</v>
      </c>
      <c r="Q6" t="s">
        <v>806</v>
      </c>
      <c r="R6" t="s">
        <v>785</v>
      </c>
    </row>
    <row r="7" spans="2:18">
      <c r="D7" s="56" t="s">
        <v>808</v>
      </c>
      <c r="E7" s="82">
        <v>2</v>
      </c>
      <c r="F7" t="str">
        <f>O11</f>
        <v>dia</v>
      </c>
      <c r="G7" t="s">
        <v>807</v>
      </c>
      <c r="I7" s="74" t="s">
        <v>433</v>
      </c>
      <c r="J7" s="76">
        <f>LOOKUP(D6,Materials[[#All],[Refe-rence]],Materials[[#All],[Molar mass (g/mol)]])/1000</f>
        <v>2.016E-3</v>
      </c>
      <c r="K7" s="74" t="s">
        <v>681</v>
      </c>
      <c r="L7" s="74"/>
      <c r="N7">
        <v>1</v>
      </c>
      <c r="O7" t="s">
        <v>803</v>
      </c>
      <c r="P7">
        <f>3/2*8.314</f>
        <v>12.471</v>
      </c>
      <c r="Q7">
        <f>P7+8.314</f>
        <v>20.785</v>
      </c>
      <c r="R7">
        <v>1.67</v>
      </c>
    </row>
    <row r="8" spans="2:18">
      <c r="I8" s="74" t="s">
        <v>391</v>
      </c>
      <c r="J8" s="77">
        <f>LOOKUP(D6,Materials[[#All],[Refe-rence]],Materials[[#All],[Specific Heat (J/kgK)]])</f>
        <v>14310</v>
      </c>
      <c r="K8" s="74" t="s">
        <v>392</v>
      </c>
      <c r="L8" s="74"/>
      <c r="N8">
        <v>2</v>
      </c>
      <c r="O8" t="s">
        <v>804</v>
      </c>
      <c r="P8">
        <f>5/2*8.314</f>
        <v>20.785</v>
      </c>
      <c r="Q8" s="38">
        <f>P8+8.314</f>
        <v>29.099</v>
      </c>
      <c r="R8">
        <v>1.4</v>
      </c>
    </row>
    <row r="9" spans="2:18">
      <c r="C9" t="s">
        <v>776</v>
      </c>
      <c r="D9" s="10"/>
      <c r="E9" s="10"/>
      <c r="I9" s="74" t="s">
        <v>817</v>
      </c>
      <c r="J9" s="75">
        <f>IF(ISBLANK(LOOKUP(D6,Materials[Refe-rence],Materials[Enthalpy Change of Vaporization (J/mol)])),(4.5*8.314462+8.314462*LN((LOOKUP(D6,Materials[[#All],[Refe-rence]],Materials[[#All],[Boiling Point (K)]]))))*(LOOKUP(D6,Materials[[#All],[Refe-rence]],Materials[[#All],[Boiling Point (K)]])),LOOKUP(D6,Materials[Refe-rence],Materials[Enthalpy Change of Vaporization (J/mol)]))</f>
        <v>449.36</v>
      </c>
      <c r="K9" s="74" t="s">
        <v>396</v>
      </c>
      <c r="L9" s="74"/>
      <c r="N9">
        <v>3</v>
      </c>
      <c r="O9" t="s">
        <v>805</v>
      </c>
      <c r="P9">
        <f>7/2*8.314</f>
        <v>29.099</v>
      </c>
      <c r="Q9" s="38">
        <f>P9+8.314</f>
        <v>37.412999999999997</v>
      </c>
      <c r="R9">
        <v>1.3</v>
      </c>
    </row>
    <row r="10" spans="2:18">
      <c r="C10" s="54" t="s">
        <v>793</v>
      </c>
      <c r="D10" s="70">
        <v>300</v>
      </c>
      <c r="E10" t="s">
        <v>394</v>
      </c>
      <c r="I10" s="74"/>
      <c r="J10" s="75">
        <f>(J9/J7)</f>
        <v>222896.82539682541</v>
      </c>
      <c r="K10" s="74" t="s">
        <v>662</v>
      </c>
      <c r="L10" s="74"/>
    </row>
    <row r="11" spans="2:18">
      <c r="C11" s="54" t="s">
        <v>777</v>
      </c>
      <c r="D11" s="73">
        <v>1</v>
      </c>
      <c r="E11" t="s">
        <v>575</v>
      </c>
      <c r="I11" s="74" t="s">
        <v>778</v>
      </c>
      <c r="J11" s="77">
        <f>100000*EXP(J10*J7*(1/J6-1/D10)/8.314)</f>
        <v>1200059.2327369256</v>
      </c>
      <c r="K11" s="74" t="s">
        <v>575</v>
      </c>
      <c r="L11" s="74"/>
      <c r="N11">
        <f>E7</f>
        <v>2</v>
      </c>
      <c r="O11" t="str">
        <f>LOOKUP(MIN(N11,3),N7:N9,O7:O9)</f>
        <v>dia</v>
      </c>
      <c r="P11">
        <f>LOOKUP(N11,N7:N9,P7:P9)</f>
        <v>20.785</v>
      </c>
      <c r="Q11">
        <f>LOOKUP(N11,N7:N9,Q7:Q9)</f>
        <v>29.099</v>
      </c>
      <c r="R11">
        <f>LOOKUP(N11,N7:N9,R7:R9)</f>
        <v>1.4</v>
      </c>
    </row>
    <row r="12" spans="2:18">
      <c r="C12" s="55" t="s">
        <v>799</v>
      </c>
      <c r="D12" s="70">
        <v>9.8000000000000007</v>
      </c>
      <c r="E12" t="s">
        <v>800</v>
      </c>
      <c r="I12" s="74" t="s">
        <v>394</v>
      </c>
      <c r="J12" s="78">
        <f>LOOKUP(D6,Materials[[#All],[Refe-rence]],Materials[[#All],[Bulk Modulus (Gpa)]])</f>
        <v>0.113</v>
      </c>
      <c r="K12" s="74" t="s">
        <v>788</v>
      </c>
      <c r="L12" s="74"/>
    </row>
    <row r="13" spans="2:18">
      <c r="I13" s="74" t="s">
        <v>785</v>
      </c>
      <c r="J13" s="74">
        <f>IF(LOOKUP(D6,Materials[[#All],[Refe-rence]],Materials[[#All],[Gas Phase Adibatic Index]])=0,R11,LOOKUP(D6,Materials[[#All],[Refe-rence]],Materials[[#All],[Gas Phase Adibatic Index]]))</f>
        <v>1.41</v>
      </c>
      <c r="K13" s="74"/>
      <c r="L13" s="74"/>
      <c r="N13" s="5"/>
    </row>
    <row r="14" spans="2:18">
      <c r="I14" s="74" t="s">
        <v>818</v>
      </c>
      <c r="J14" s="79">
        <f>PI()*D18^2*D17</f>
        <v>3.1415926535897931E-4</v>
      </c>
      <c r="K14" s="74" t="s">
        <v>667</v>
      </c>
      <c r="L14" s="74"/>
    </row>
    <row r="15" spans="2:18">
      <c r="I15" s="80" t="s">
        <v>798</v>
      </c>
      <c r="J15" s="74">
        <f>LOOKUP(D6,Materials[[#All],[Refe-rence]],Materials[[#All],[Density (kg/m3)]])</f>
        <v>70.849999999999994</v>
      </c>
      <c r="K15" s="74" t="s">
        <v>787</v>
      </c>
      <c r="L15" s="74"/>
    </row>
    <row r="16" spans="2:18">
      <c r="B16" t="s">
        <v>774</v>
      </c>
      <c r="I16" s="74" t="s">
        <v>410</v>
      </c>
      <c r="J16" s="81">
        <f>SQRT(J12*1000000000/J15)</f>
        <v>1262.9009631104352</v>
      </c>
      <c r="K16" s="74" t="s">
        <v>16</v>
      </c>
      <c r="L16" s="74"/>
      <c r="M16" s="16"/>
      <c r="N16" s="16"/>
      <c r="O16" s="16"/>
    </row>
    <row r="17" spans="2:15">
      <c r="C17" t="s">
        <v>783</v>
      </c>
      <c r="D17" s="70">
        <v>1</v>
      </c>
      <c r="I17" s="74" t="s">
        <v>791</v>
      </c>
      <c r="J17" s="75">
        <f>J11+D11</f>
        <v>1200060.2327369256</v>
      </c>
      <c r="K17" s="74"/>
      <c r="L17" s="74"/>
      <c r="M17" s="16"/>
      <c r="N17" s="16"/>
      <c r="O17" s="16"/>
    </row>
    <row r="18" spans="2:15">
      <c r="C18" t="s">
        <v>5</v>
      </c>
      <c r="D18" s="71">
        <v>0.01</v>
      </c>
      <c r="E18" t="s">
        <v>2</v>
      </c>
      <c r="I18" s="74" t="s">
        <v>780</v>
      </c>
      <c r="J18" s="79">
        <v>1.0000000000000001E-5</v>
      </c>
      <c r="K18" s="74" t="s">
        <v>575</v>
      </c>
      <c r="L18" s="74"/>
      <c r="M18" s="16"/>
      <c r="N18" s="16"/>
      <c r="O18" s="16"/>
    </row>
    <row r="19" spans="2:15">
      <c r="D19" s="4">
        <f>D18*1000</f>
        <v>10</v>
      </c>
      <c r="E19" t="s">
        <v>12</v>
      </c>
      <c r="I19" s="74" t="s">
        <v>779</v>
      </c>
      <c r="J19" s="78">
        <v>1.0000000000000001E-5</v>
      </c>
      <c r="K19" s="74"/>
      <c r="L19" s="74"/>
    </row>
    <row r="20" spans="2:15">
      <c r="C20" t="s">
        <v>801</v>
      </c>
      <c r="D20" s="70">
        <v>1</v>
      </c>
      <c r="E20" t="s">
        <v>2</v>
      </c>
      <c r="I20" s="74" t="s">
        <v>781</v>
      </c>
      <c r="J20" s="78">
        <f>D10*(1+(J13-1)/2*J19^2)</f>
        <v>300.00000000615</v>
      </c>
      <c r="K20" s="74" t="s">
        <v>394</v>
      </c>
      <c r="L20" s="74"/>
    </row>
    <row r="21" spans="2:15">
      <c r="I21" s="74" t="s">
        <v>789</v>
      </c>
      <c r="J21" s="78">
        <f>J19*J16</f>
        <v>1.2629009631104353E-2</v>
      </c>
      <c r="K21" s="74" t="s">
        <v>16</v>
      </c>
      <c r="L21" s="74"/>
    </row>
    <row r="22" spans="2:15">
      <c r="I22" s="74" t="s">
        <v>782</v>
      </c>
      <c r="J22" s="75">
        <f>J17*(1+(J13-1)/2*J19^2)^(J13/(J13-1))</f>
        <v>1200060.23282153</v>
      </c>
      <c r="K22" s="74" t="s">
        <v>575</v>
      </c>
      <c r="L22" s="74"/>
    </row>
    <row r="23" spans="2:15">
      <c r="B23" t="s">
        <v>810</v>
      </c>
      <c r="I23" s="74" t="s">
        <v>784</v>
      </c>
      <c r="J23" s="81">
        <f>SQRT(2*Q11*J20*(1-(J18/J22)^((J13-1)/J13)))</f>
        <v>132.09435511697401</v>
      </c>
      <c r="K23" s="74" t="s">
        <v>16</v>
      </c>
      <c r="L23" s="74"/>
    </row>
    <row r="24" spans="2:15" ht="14.65" thickBot="1">
      <c r="C24" t="s">
        <v>814</v>
      </c>
      <c r="I24" s="74" t="s">
        <v>786</v>
      </c>
      <c r="J24" s="78">
        <f>(J18/J22)^((J13-1)/J13)</f>
        <v>6.0032684905902587E-4</v>
      </c>
      <c r="K24" s="74" t="s">
        <v>394</v>
      </c>
      <c r="L24" s="74"/>
    </row>
    <row r="25" spans="2:15" ht="15" thickTop="1" thickBot="1">
      <c r="C25" t="s">
        <v>811</v>
      </c>
      <c r="D25" s="98">
        <f>J27</f>
        <v>1.9089341032607239E-3</v>
      </c>
      <c r="E25" s="38" t="s">
        <v>790</v>
      </c>
      <c r="I25" s="74" t="s">
        <v>819</v>
      </c>
      <c r="J25" s="78">
        <f>J22/(J20*8.314)</f>
        <v>481.14033870456609</v>
      </c>
      <c r="K25" s="74" t="s">
        <v>787</v>
      </c>
      <c r="L25" s="74"/>
    </row>
    <row r="26" spans="2:15" ht="14.65" thickTop="1">
      <c r="I26" s="74" t="s">
        <v>820</v>
      </c>
      <c r="J26" s="78">
        <f>J25*(J18/J22)^((2*J13-1)/J13)</f>
        <v>2.4068913841982222E-12</v>
      </c>
      <c r="K26" s="74" t="s">
        <v>787</v>
      </c>
      <c r="L26" s="74"/>
    </row>
    <row r="27" spans="2:15" ht="14.65" thickBot="1">
      <c r="C27" t="s">
        <v>815</v>
      </c>
      <c r="I27" s="74" t="s">
        <v>795</v>
      </c>
      <c r="J27" s="79">
        <f>J25*J21*J14</f>
        <v>1.9089341032607239E-3</v>
      </c>
      <c r="K27" s="74" t="s">
        <v>790</v>
      </c>
      <c r="L27" s="74"/>
    </row>
    <row r="28" spans="2:15" ht="15" thickTop="1" thickBot="1">
      <c r="C28" s="38" t="s">
        <v>811</v>
      </c>
      <c r="D28" s="98">
        <f>J32</f>
        <v>4.0979053254647688</v>
      </c>
      <c r="E28" s="38" t="s">
        <v>790</v>
      </c>
      <c r="I28" s="74" t="s">
        <v>796</v>
      </c>
      <c r="J28" s="75">
        <f>J27*J10</f>
        <v>425.4953515085511</v>
      </c>
      <c r="K28" s="74" t="s">
        <v>794</v>
      </c>
      <c r="L28" s="74"/>
    </row>
    <row r="29" spans="2:15" ht="14.65" thickTop="1">
      <c r="I29" s="74" t="s">
        <v>809</v>
      </c>
      <c r="J29" s="78">
        <f>J28/J8</f>
        <v>2.9734126590394906E-2</v>
      </c>
      <c r="K29" s="74" t="s">
        <v>797</v>
      </c>
      <c r="L29" s="74"/>
    </row>
    <row r="30" spans="2:15">
      <c r="C30" t="s">
        <v>916</v>
      </c>
      <c r="I30" s="74"/>
      <c r="J30" s="74"/>
      <c r="K30" s="74"/>
      <c r="L30" s="74"/>
    </row>
    <row r="31" spans="2:15">
      <c r="I31" s="74" t="s">
        <v>802</v>
      </c>
      <c r="J31" s="78">
        <f>SQRT(2*(J17+J15*D12*D20-J18)/J15)</f>
        <v>184.10780208054203</v>
      </c>
      <c r="K31" s="74" t="s">
        <v>16</v>
      </c>
      <c r="L31" s="74"/>
    </row>
    <row r="32" spans="2:15">
      <c r="I32" s="74" t="s">
        <v>795</v>
      </c>
      <c r="J32" s="78">
        <f>J14*J31*J15</f>
        <v>4.0979053254647688</v>
      </c>
      <c r="K32" s="74" t="s">
        <v>790</v>
      </c>
      <c r="L32" s="74"/>
    </row>
    <row r="33" spans="9:12">
      <c r="I33" s="74" t="s">
        <v>796</v>
      </c>
      <c r="J33" s="75">
        <f>J31*J14*J17/(D10*8.314)*J9</f>
        <v>12505.131023891312</v>
      </c>
      <c r="K33" s="74" t="s">
        <v>794</v>
      </c>
      <c r="L33" s="74"/>
    </row>
    <row r="34" spans="9:12">
      <c r="I34" s="74" t="s">
        <v>809</v>
      </c>
      <c r="J34" s="78">
        <f>J33/J8</f>
        <v>0.87387358657521397</v>
      </c>
      <c r="K34" s="74" t="s">
        <v>797</v>
      </c>
      <c r="L34" s="74"/>
    </row>
  </sheetData>
  <mergeCells count="2">
    <mergeCell ref="F6:G6"/>
    <mergeCell ref="B2:G3"/>
  </mergeCells>
  <dataValidations disablePrompts="1" count="3">
    <dataValidation type="whole" operator="greaterThan" allowBlank="1" showInputMessage="1" showErrorMessage="1" sqref="D6 D17" xr:uid="{8FFEB70A-4EB2-4345-9861-861969EE918B}">
      <formula1>0</formula1>
    </dataValidation>
    <dataValidation type="decimal" operator="greaterThan" allowBlank="1" showInputMessage="1" showErrorMessage="1" sqref="D10:D11 D18" xr:uid="{E8565BFC-E1A7-40C0-80B5-FA54B1B710F2}">
      <formula1>0</formula1>
    </dataValidation>
    <dataValidation type="whole" operator="greaterThanOrEqual" allowBlank="1" showInputMessage="1" showErrorMessage="1" sqref="E7" xr:uid="{E12BA0E6-246A-4324-B2C0-933F60403C42}">
      <formula1>1</formula1>
    </dataValidation>
  </dataValidations>
  <pageMargins left="0.7" right="0.7" top="0.75" bottom="0.75" header="0.3" footer="0.3"/>
  <pageSetup paperSize="9"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19CA9-5F6A-4E7C-AD37-4E3A17EADDF8}">
  <sheetPr codeName="Sheet16">
    <tabColor theme="7"/>
  </sheetPr>
  <dimension ref="B2:N79"/>
  <sheetViews>
    <sheetView workbookViewId="0"/>
  </sheetViews>
  <sheetFormatPr defaultRowHeight="14.25"/>
  <cols>
    <col min="3" max="3" width="9.06640625" style="171"/>
  </cols>
  <sheetData>
    <row r="2" spans="2:14" ht="14.25" customHeight="1">
      <c r="B2" s="616" t="s">
        <v>2208</v>
      </c>
      <c r="C2" s="616"/>
      <c r="D2" s="616"/>
      <c r="E2" s="616"/>
      <c r="G2" t="s">
        <v>1611</v>
      </c>
    </row>
    <row r="3" spans="2:14">
      <c r="B3" s="616"/>
      <c r="C3" s="616"/>
      <c r="D3" s="616"/>
      <c r="E3" s="616"/>
    </row>
    <row r="5" spans="2:14">
      <c r="B5" t="s">
        <v>844</v>
      </c>
      <c r="G5" t="s">
        <v>1584</v>
      </c>
      <c r="K5" t="s">
        <v>2189</v>
      </c>
    </row>
    <row r="6" spans="2:14">
      <c r="C6" s="171" t="s">
        <v>1579</v>
      </c>
      <c r="D6" s="184">
        <v>715</v>
      </c>
      <c r="E6" t="s">
        <v>16</v>
      </c>
      <c r="H6" s="171" t="s">
        <v>1585</v>
      </c>
      <c r="I6" s="184">
        <v>500</v>
      </c>
      <c r="J6" t="s">
        <v>2</v>
      </c>
      <c r="L6" s="171" t="s">
        <v>1609</v>
      </c>
      <c r="M6" s="167">
        <f>(I6/D6)*I11+I6</f>
        <v>1199.3006993006993</v>
      </c>
      <c r="N6" t="s">
        <v>2</v>
      </c>
    </row>
    <row r="7" spans="2:14">
      <c r="C7" s="171" t="s">
        <v>1577</v>
      </c>
      <c r="D7" s="184">
        <v>25</v>
      </c>
      <c r="E7" t="s">
        <v>993</v>
      </c>
      <c r="I7">
        <f>I6/1000</f>
        <v>0.5</v>
      </c>
      <c r="J7" t="s">
        <v>1587</v>
      </c>
      <c r="L7" s="171" t="s">
        <v>1610</v>
      </c>
      <c r="M7" s="167">
        <f>(I11^2-(I11-(I6/D6)*D18)^2)/(2*D18)+I6</f>
        <v>1191.2318450779985</v>
      </c>
      <c r="N7" t="s">
        <v>2</v>
      </c>
    </row>
    <row r="8" spans="2:14">
      <c r="D8">
        <f>D7*60</f>
        <v>1500</v>
      </c>
      <c r="E8" t="s">
        <v>1581</v>
      </c>
      <c r="H8" s="171" t="s">
        <v>1586</v>
      </c>
      <c r="I8" s="184">
        <v>200</v>
      </c>
      <c r="J8" t="s">
        <v>2</v>
      </c>
      <c r="K8" t="s">
        <v>2188</v>
      </c>
      <c r="L8" s="171" t="s">
        <v>2190</v>
      </c>
      <c r="M8" s="503">
        <f>ROUNDUP(I16*D7*D11,0)</f>
        <v>23</v>
      </c>
      <c r="N8" t="s">
        <v>2115</v>
      </c>
    </row>
    <row r="9" spans="2:14">
      <c r="C9" s="171" t="s">
        <v>1578</v>
      </c>
      <c r="D9" s="184">
        <v>1</v>
      </c>
      <c r="E9" t="s">
        <v>1580</v>
      </c>
      <c r="I9">
        <f>I8/1000</f>
        <v>0.2</v>
      </c>
      <c r="J9" t="s">
        <v>1587</v>
      </c>
    </row>
    <row r="10" spans="2:14">
      <c r="C10" s="315" t="s">
        <v>1591</v>
      </c>
      <c r="D10">
        <f>D9*2.98</f>
        <v>2.98</v>
      </c>
      <c r="E10" t="s">
        <v>1590</v>
      </c>
      <c r="K10" t="s">
        <v>1603</v>
      </c>
    </row>
    <row r="11" spans="2:14">
      <c r="C11" s="171" t="s">
        <v>1576</v>
      </c>
      <c r="D11" s="184">
        <v>3</v>
      </c>
      <c r="H11" t="s">
        <v>1589</v>
      </c>
      <c r="I11" s="184">
        <v>1000</v>
      </c>
      <c r="J11" t="s">
        <v>16</v>
      </c>
      <c r="L11" t="s">
        <v>1604</v>
      </c>
      <c r="M11" s="184">
        <v>3</v>
      </c>
    </row>
    <row r="13" spans="2:14">
      <c r="B13" t="s">
        <v>1588</v>
      </c>
      <c r="G13" t="s">
        <v>1592</v>
      </c>
      <c r="L13" s="313" t="s">
        <v>1593</v>
      </c>
    </row>
    <row r="14" spans="2:14">
      <c r="C14" s="171" t="s">
        <v>1582</v>
      </c>
      <c r="D14" s="184">
        <v>0.16</v>
      </c>
      <c r="E14" t="s">
        <v>2</v>
      </c>
      <c r="G14" t="s">
        <v>1602</v>
      </c>
      <c r="L14" s="171" t="s">
        <v>1597</v>
      </c>
      <c r="M14" s="248">
        <f>kinetic_ciws(D9*PI()/10800,I11,D18,M11/(D7*D11),I6,I8,D16,D6,D15*D16)</f>
        <v>2.3105458522694189E-2</v>
      </c>
    </row>
    <row r="15" spans="2:14">
      <c r="C15" s="171" t="s">
        <v>9</v>
      </c>
      <c r="D15" s="184">
        <v>1</v>
      </c>
      <c r="E15" t="s">
        <v>2</v>
      </c>
      <c r="H15" t="s">
        <v>1600</v>
      </c>
      <c r="I15" s="167">
        <f>SQRT(I11^2+2*(I6-I8)*D18)-I11</f>
        <v>9.8514742277698133</v>
      </c>
      <c r="J15" t="s">
        <v>16</v>
      </c>
      <c r="L15" s="171" t="s">
        <v>1596</v>
      </c>
      <c r="M15" s="248">
        <f>kinetic_ciws(D9*PI()/10800,I11,D18,M11/(D7*D11),I6,I8,D17,D6,D16*D15)</f>
        <v>0.12718741427056546</v>
      </c>
    </row>
    <row r="16" spans="2:14">
      <c r="C16" s="171" t="s">
        <v>1594</v>
      </c>
      <c r="D16" s="1">
        <f>PI()*(D14/2)^2</f>
        <v>2.0106192982974676E-2</v>
      </c>
      <c r="E16" s="35" t="s">
        <v>667</v>
      </c>
      <c r="H16" t="s">
        <v>1601</v>
      </c>
      <c r="I16" s="1">
        <f>(I6-I8)/((I15+I11*2)/2)</f>
        <v>0.29852952205363009</v>
      </c>
      <c r="J16" t="s">
        <v>988</v>
      </c>
    </row>
    <row r="17" spans="2:13">
      <c r="C17" s="171" t="s">
        <v>1595</v>
      </c>
      <c r="D17" s="1">
        <f>(D16*2+D14*D15*4)/6</f>
        <v>0.11336873099432489</v>
      </c>
      <c r="E17" s="35" t="s">
        <v>667</v>
      </c>
      <c r="K17" s="318"/>
      <c r="L17" s="244" t="s">
        <v>1597</v>
      </c>
      <c r="M17" s="244" t="s">
        <v>1596</v>
      </c>
    </row>
    <row r="18" spans="2:13">
      <c r="C18" s="171" t="s">
        <v>1583</v>
      </c>
      <c r="D18" s="184">
        <v>33</v>
      </c>
      <c r="E18" t="s">
        <v>16</v>
      </c>
      <c r="H18" t="s">
        <v>1593</v>
      </c>
      <c r="K18" s="244" t="s">
        <v>1606</v>
      </c>
      <c r="L18" s="317">
        <f>(1-M14)</f>
        <v>0.97689454147730581</v>
      </c>
      <c r="M18" s="317">
        <f>(1-M15)</f>
        <v>0.87281258572943454</v>
      </c>
    </row>
    <row r="19" spans="2:13">
      <c r="D19" s="1">
        <f>D18/9.8</f>
        <v>3.3673469387755102</v>
      </c>
      <c r="E19" t="s">
        <v>753</v>
      </c>
      <c r="H19" s="171" t="s">
        <v>1597</v>
      </c>
      <c r="I19" s="316">
        <f>kinetic_ciws(D9*PI()/10800,I11,D18,1/(D7*D11),I6,I8,D16,D6,D16*D15)</f>
        <v>7.2757390496837604E-2</v>
      </c>
      <c r="K19" s="244" t="s">
        <v>1607</v>
      </c>
      <c r="L19" s="317">
        <f>1-L18-L20</f>
        <v>2.2571596309150246E-2</v>
      </c>
      <c r="M19" s="317">
        <f>1-M18-M20</f>
        <v>0.11101077592173302</v>
      </c>
    </row>
    <row r="20" spans="2:13">
      <c r="C20" s="171" t="s">
        <v>1605</v>
      </c>
      <c r="D20" s="184">
        <v>2</v>
      </c>
      <c r="H20" s="171" t="s">
        <v>1596</v>
      </c>
      <c r="I20" s="316">
        <f>kinetic_ciws(D9*PI()/10800,I11,D18,1/(D7*D11),I6,I8,D17,D6,D16*D15)</f>
        <v>0.35827884209455385</v>
      </c>
      <c r="K20" s="244" t="s">
        <v>1608</v>
      </c>
      <c r="L20" s="317">
        <f>M14^D20</f>
        <v>5.338622135439415E-4</v>
      </c>
      <c r="M20" s="317">
        <f>M15^D20</f>
        <v>1.6176638348832439E-2</v>
      </c>
    </row>
    <row r="22" spans="2:13">
      <c r="B22" t="s">
        <v>1598</v>
      </c>
      <c r="G22" s="318"/>
      <c r="H22" s="244" t="s">
        <v>1597</v>
      </c>
      <c r="I22" s="244" t="s">
        <v>1596</v>
      </c>
      <c r="K22" s="318"/>
      <c r="L22" s="244" t="s">
        <v>1597</v>
      </c>
      <c r="M22" s="244" t="s">
        <v>1596</v>
      </c>
    </row>
    <row r="23" spans="2:13">
      <c r="C23" s="171" t="s">
        <v>1599</v>
      </c>
      <c r="G23" s="244" t="s">
        <v>1606</v>
      </c>
      <c r="H23" s="317">
        <f>(1-I19)</f>
        <v>0.9272426095031624</v>
      </c>
      <c r="I23" s="317">
        <f>(1-I20)</f>
        <v>0.64172115790544615</v>
      </c>
      <c r="K23" s="244" t="s">
        <v>1606</v>
      </c>
      <c r="L23" s="279">
        <f t="shared" ref="L23:M25" si="0">L18*$M$11</f>
        <v>2.9306836244319174</v>
      </c>
      <c r="M23" s="279">
        <f t="shared" si="0"/>
        <v>2.6184377571883037</v>
      </c>
    </row>
    <row r="24" spans="2:13">
      <c r="C24" s="171" t="s">
        <v>1597</v>
      </c>
      <c r="D24" s="86">
        <v>0.5</v>
      </c>
      <c r="G24" s="244" t="s">
        <v>1607</v>
      </c>
      <c r="H24" s="317">
        <f>1-H23-H25</f>
        <v>6.7463752624928292E-2</v>
      </c>
      <c r="I24" s="317">
        <f>1-I23-I25</f>
        <v>0.2299151134019396</v>
      </c>
      <c r="K24" s="244" t="s">
        <v>1607</v>
      </c>
      <c r="L24" s="279">
        <f t="shared" si="0"/>
        <v>6.7714788927450739E-2</v>
      </c>
      <c r="M24" s="279">
        <f t="shared" si="0"/>
        <v>0.33303232776519903</v>
      </c>
    </row>
    <row r="25" spans="2:13">
      <c r="C25" s="171" t="s">
        <v>1596</v>
      </c>
      <c r="D25" s="86">
        <v>0.25</v>
      </c>
      <c r="G25" s="244" t="s">
        <v>1608</v>
      </c>
      <c r="H25" s="317">
        <f>I19^D20</f>
        <v>5.2936378719093151E-3</v>
      </c>
      <c r="I25" s="317">
        <f>I20^D20</f>
        <v>0.12836372869261425</v>
      </c>
      <c r="K25" s="244" t="s">
        <v>1608</v>
      </c>
      <c r="L25" s="279">
        <f t="shared" si="0"/>
        <v>1.6015866406318244E-3</v>
      </c>
      <c r="M25" s="279">
        <f t="shared" si="0"/>
        <v>4.8529915046497313E-2</v>
      </c>
    </row>
    <row r="30" spans="2:13">
      <c r="B30" s="616" t="s">
        <v>2209</v>
      </c>
      <c r="C30" s="596"/>
      <c r="D30" s="596"/>
    </row>
    <row r="31" spans="2:13">
      <c r="B31" s="596"/>
      <c r="C31" s="596"/>
      <c r="D31" s="596"/>
    </row>
    <row r="33" spans="2:10">
      <c r="B33" t="s">
        <v>1615</v>
      </c>
      <c r="G33" t="s">
        <v>1584</v>
      </c>
    </row>
    <row r="34" spans="2:10">
      <c r="C34" s="171" t="s">
        <v>1582</v>
      </c>
      <c r="D34" s="184">
        <v>0.1</v>
      </c>
      <c r="E34" s="314" t="s">
        <v>2</v>
      </c>
      <c r="H34" s="171" t="s">
        <v>1614</v>
      </c>
      <c r="I34" s="184">
        <v>1000</v>
      </c>
      <c r="J34" t="s">
        <v>2</v>
      </c>
    </row>
    <row r="35" spans="2:10">
      <c r="C35" s="171" t="s">
        <v>9</v>
      </c>
      <c r="D35" s="184">
        <v>1</v>
      </c>
      <c r="E35" s="314" t="s">
        <v>2</v>
      </c>
      <c r="I35">
        <f>I34/1000</f>
        <v>1</v>
      </c>
      <c r="J35" t="s">
        <v>1587</v>
      </c>
    </row>
    <row r="36" spans="2:10">
      <c r="C36" s="171" t="s">
        <v>1594</v>
      </c>
      <c r="D36" s="1">
        <f>PI()*(D34/2)^2</f>
        <v>7.8539816339744835E-3</v>
      </c>
      <c r="E36" s="35" t="s">
        <v>667</v>
      </c>
      <c r="H36" s="171" t="s">
        <v>1613</v>
      </c>
      <c r="I36" s="184">
        <v>300</v>
      </c>
      <c r="J36" t="s">
        <v>16</v>
      </c>
    </row>
    <row r="37" spans="2:10">
      <c r="C37" s="171" t="s">
        <v>1595</v>
      </c>
      <c r="D37" s="1">
        <f>(D36*2+D34*D35*4)/6</f>
        <v>6.9284660544658164E-2</v>
      </c>
      <c r="E37" s="35" t="s">
        <v>667</v>
      </c>
    </row>
    <row r="38" spans="2:10">
      <c r="C38" s="171" t="s">
        <v>1583</v>
      </c>
      <c r="D38" s="184">
        <v>10</v>
      </c>
      <c r="E38" s="314" t="s">
        <v>16</v>
      </c>
      <c r="H38" s="171" t="s">
        <v>1629</v>
      </c>
      <c r="I38" s="1">
        <f>SQRT(2*(D38+D49)*I34+I36^2)</f>
        <v>360.55512754639892</v>
      </c>
      <c r="J38" t="s">
        <v>16</v>
      </c>
    </row>
    <row r="39" spans="2:10">
      <c r="D39" s="1">
        <f>D38/9.8</f>
        <v>1.0204081632653061</v>
      </c>
      <c r="E39" s="314" t="s">
        <v>753</v>
      </c>
      <c r="H39" t="s">
        <v>1630</v>
      </c>
      <c r="I39" s="1">
        <f>(I38-I36)/(D38+D49)</f>
        <v>3.0277563773199461</v>
      </c>
      <c r="J39" t="s">
        <v>988</v>
      </c>
    </row>
    <row r="40" spans="2:10">
      <c r="C40" s="171" t="s">
        <v>1616</v>
      </c>
      <c r="D40" s="332">
        <v>0.5</v>
      </c>
    </row>
    <row r="41" spans="2:10">
      <c r="C41" s="171" t="s">
        <v>1634</v>
      </c>
      <c r="D41" s="184">
        <v>0.77</v>
      </c>
      <c r="E41" t="s">
        <v>2</v>
      </c>
      <c r="H41" s="171" t="s">
        <v>1631</v>
      </c>
      <c r="I41" s="1">
        <f>MAX((D49*D51-D38*D40)*I39^2/2,0)</f>
        <v>0</v>
      </c>
      <c r="J41" t="s">
        <v>2</v>
      </c>
    </row>
    <row r="43" spans="2:10">
      <c r="H43" t="s">
        <v>1635</v>
      </c>
      <c r="I43" s="181">
        <f>IF(I41=0,1,(D45/2+D41)^2/(I41^2))</f>
        <v>1</v>
      </c>
    </row>
    <row r="44" spans="2:10">
      <c r="B44" s="314" t="s">
        <v>1612</v>
      </c>
      <c r="D44" s="314"/>
      <c r="E44" s="314"/>
      <c r="H44" t="s">
        <v>1633</v>
      </c>
      <c r="I44" s="1">
        <f>1/2*D39*I39^2</f>
        <v>4.677198306327349</v>
      </c>
      <c r="J44" t="s">
        <v>2</v>
      </c>
    </row>
    <row r="45" spans="2:10">
      <c r="B45" s="314"/>
      <c r="C45" s="171" t="s">
        <v>1582</v>
      </c>
      <c r="D45" s="184">
        <v>0.1</v>
      </c>
      <c r="E45" s="314" t="s">
        <v>2</v>
      </c>
    </row>
    <row r="46" spans="2:10">
      <c r="B46" s="314"/>
      <c r="C46" s="171" t="s">
        <v>9</v>
      </c>
      <c r="D46" s="184">
        <v>1</v>
      </c>
      <c r="E46" s="314" t="s">
        <v>2</v>
      </c>
    </row>
    <row r="47" spans="2:10">
      <c r="B47" s="314"/>
      <c r="C47" s="171" t="s">
        <v>1594</v>
      </c>
      <c r="D47" s="18">
        <f>PI()*(D45/2)^2</f>
        <v>7.8539816339744835E-3</v>
      </c>
      <c r="E47" s="35" t="s">
        <v>667</v>
      </c>
    </row>
    <row r="48" spans="2:10">
      <c r="B48" s="314"/>
      <c r="C48" s="171" t="s">
        <v>1595</v>
      </c>
      <c r="D48" s="18">
        <f>(D47*2+D45*D46*4)/6</f>
        <v>6.9284660544658164E-2</v>
      </c>
      <c r="E48" s="35" t="s">
        <v>667</v>
      </c>
    </row>
    <row r="49" spans="2:10">
      <c r="B49" s="314"/>
      <c r="C49" s="171" t="s">
        <v>1583</v>
      </c>
      <c r="D49" s="184">
        <v>10</v>
      </c>
      <c r="E49" s="314" t="s">
        <v>16</v>
      </c>
    </row>
    <row r="50" spans="2:10">
      <c r="B50" s="314"/>
      <c r="D50" s="1">
        <f>D49/9.8</f>
        <v>1.0204081632653061</v>
      </c>
      <c r="E50" s="314" t="s">
        <v>753</v>
      </c>
    </row>
    <row r="51" spans="2:10">
      <c r="B51" s="337"/>
      <c r="C51" s="171" t="s">
        <v>1632</v>
      </c>
      <c r="D51" s="332">
        <v>0.5</v>
      </c>
    </row>
    <row r="56" spans="2:10" ht="14.25" customHeight="1">
      <c r="B56" s="616" t="s">
        <v>2207</v>
      </c>
      <c r="C56" s="616"/>
      <c r="D56" s="616"/>
      <c r="E56" s="616"/>
    </row>
    <row r="57" spans="2:10">
      <c r="B57" s="616"/>
      <c r="C57" s="616"/>
      <c r="D57" s="616"/>
      <c r="E57" s="616"/>
    </row>
    <row r="58" spans="2:10">
      <c r="B58" s="506"/>
      <c r="D58" s="506"/>
      <c r="E58" s="506"/>
    </row>
    <row r="59" spans="2:10">
      <c r="B59" s="506" t="s">
        <v>844</v>
      </c>
      <c r="D59" s="506"/>
      <c r="E59" s="506"/>
      <c r="G59" s="506" t="s">
        <v>1584</v>
      </c>
      <c r="H59" s="506"/>
      <c r="I59" s="506"/>
      <c r="J59" s="506"/>
    </row>
    <row r="60" spans="2:10">
      <c r="B60" s="506"/>
      <c r="C60" s="171" t="s">
        <v>1579</v>
      </c>
      <c r="D60" s="184">
        <v>1600</v>
      </c>
      <c r="E60" s="506" t="s">
        <v>16</v>
      </c>
      <c r="G60" s="506"/>
      <c r="H60" s="171" t="s">
        <v>1585</v>
      </c>
      <c r="I60" s="184">
        <v>10000</v>
      </c>
      <c r="J60" s="506" t="s">
        <v>2</v>
      </c>
    </row>
    <row r="61" spans="2:10">
      <c r="B61" s="506"/>
      <c r="C61" s="171" t="s">
        <v>1577</v>
      </c>
      <c r="D61" s="184">
        <v>25</v>
      </c>
      <c r="E61" s="506" t="s">
        <v>993</v>
      </c>
      <c r="G61" s="506"/>
      <c r="H61" s="506"/>
      <c r="I61" s="506">
        <f>I60/1000</f>
        <v>10</v>
      </c>
      <c r="J61" s="506" t="s">
        <v>1587</v>
      </c>
    </row>
    <row r="62" spans="2:10">
      <c r="B62" s="506"/>
      <c r="D62" s="506">
        <f>D61*60</f>
        <v>1500</v>
      </c>
      <c r="E62" s="506" t="s">
        <v>1581</v>
      </c>
    </row>
    <row r="63" spans="2:10">
      <c r="B63" s="506"/>
      <c r="C63" s="171" t="s">
        <v>1578</v>
      </c>
      <c r="D63" s="184">
        <v>1</v>
      </c>
      <c r="E63" s="506" t="s">
        <v>1580</v>
      </c>
    </row>
    <row r="64" spans="2:10">
      <c r="B64" s="506"/>
      <c r="C64" s="315" t="s">
        <v>1591</v>
      </c>
      <c r="D64" s="506">
        <f>D63*2.98</f>
        <v>2.98</v>
      </c>
      <c r="E64" s="506" t="s">
        <v>1590</v>
      </c>
      <c r="G64" t="s">
        <v>2185</v>
      </c>
    </row>
    <row r="65" spans="2:9">
      <c r="B65" s="506"/>
      <c r="C65" s="171" t="s">
        <v>1576</v>
      </c>
      <c r="D65" s="184">
        <v>3</v>
      </c>
      <c r="E65" s="506"/>
      <c r="H65" s="171" t="s">
        <v>2186</v>
      </c>
      <c r="I65" s="257">
        <f>MIN(D70/((PI()/10800*D63*I60/2)^2*PI())*D78,1)</f>
        <v>1</v>
      </c>
    </row>
    <row r="66" spans="2:9">
      <c r="B66" s="506"/>
      <c r="D66" s="506"/>
      <c r="E66" s="506"/>
      <c r="H66" s="171" t="s">
        <v>2187</v>
      </c>
      <c r="I66" s="257">
        <f>MIN(D71/((PI()/10800*D63*I60/2)^2*PI())*D78,1)</f>
        <v>1</v>
      </c>
    </row>
    <row r="67" spans="2:9">
      <c r="B67" s="506" t="s">
        <v>1588</v>
      </c>
      <c r="D67" s="506"/>
      <c r="E67" s="506"/>
    </row>
    <row r="68" spans="2:9">
      <c r="B68" s="506"/>
      <c r="C68" s="171" t="s">
        <v>1582</v>
      </c>
      <c r="D68" s="184">
        <v>20</v>
      </c>
      <c r="E68" s="506" t="s">
        <v>2</v>
      </c>
    </row>
    <row r="69" spans="2:9">
      <c r="B69" s="506"/>
      <c r="C69" s="171" t="s">
        <v>9</v>
      </c>
      <c r="D69" s="184">
        <v>80</v>
      </c>
      <c r="E69" s="506" t="s">
        <v>2</v>
      </c>
    </row>
    <row r="70" spans="2:9">
      <c r="B70" s="506"/>
      <c r="C70" s="171" t="s">
        <v>1594</v>
      </c>
      <c r="D70" s="1">
        <f>PI()*(D68/2)^2</f>
        <v>314.15926535897933</v>
      </c>
      <c r="E70" s="35" t="s">
        <v>667</v>
      </c>
    </row>
    <row r="71" spans="2:9">
      <c r="B71" s="506"/>
      <c r="C71" s="171" t="s">
        <v>1595</v>
      </c>
      <c r="D71" s="1">
        <f>(D70*2+D68*D69*4)/6</f>
        <v>1171.3864217863263</v>
      </c>
      <c r="E71" s="35" t="s">
        <v>667</v>
      </c>
    </row>
    <row r="72" spans="2:9">
      <c r="B72" s="506"/>
      <c r="C72" s="171" t="s">
        <v>1583</v>
      </c>
      <c r="D72" s="184">
        <v>3</v>
      </c>
      <c r="E72" s="506" t="s">
        <v>16</v>
      </c>
      <c r="I72" s="189"/>
    </row>
    <row r="73" spans="2:9">
      <c r="B73" s="506"/>
      <c r="D73" s="1">
        <f>D72/9.8</f>
        <v>0.30612244897959179</v>
      </c>
      <c r="E73" s="506" t="s">
        <v>753</v>
      </c>
    </row>
    <row r="74" spans="2:9">
      <c r="B74" s="506"/>
      <c r="C74" s="171" t="s">
        <v>2191</v>
      </c>
      <c r="D74" s="184">
        <v>2</v>
      </c>
      <c r="E74" s="117" t="s">
        <v>2192</v>
      </c>
    </row>
    <row r="75" spans="2:9">
      <c r="B75" s="506"/>
      <c r="D75" s="506"/>
      <c r="E75" s="506"/>
    </row>
    <row r="76" spans="2:9">
      <c r="B76" s="506" t="s">
        <v>1598</v>
      </c>
      <c r="D76" s="506"/>
      <c r="E76" s="506"/>
    </row>
    <row r="77" spans="2:9">
      <c r="B77" s="506"/>
      <c r="C77" s="171" t="s">
        <v>1599</v>
      </c>
      <c r="D77" s="86">
        <v>0.99</v>
      </c>
      <c r="E77" s="506"/>
    </row>
    <row r="78" spans="2:9">
      <c r="B78" s="506"/>
      <c r="D78" s="516">
        <f>MIN(D70*D69/((1/2*D72*(I60/D60)^2)^3*4/3*PI()/2)*D77,1)</f>
        <v>5.9055800320000004E-2</v>
      </c>
      <c r="E78" s="506"/>
    </row>
    <row r="79" spans="2:9">
      <c r="B79" s="506"/>
      <c r="D79" s="506"/>
      <c r="E79" s="506"/>
    </row>
  </sheetData>
  <mergeCells count="3">
    <mergeCell ref="B30:D31"/>
    <mergeCell ref="B56:E57"/>
    <mergeCell ref="B2:E3"/>
  </mergeCells>
  <dataValidations count="6">
    <dataValidation type="decimal" operator="greaterThan" allowBlank="1" showInputMessage="1" showErrorMessage="1" sqref="D6:D7 D9 D14:D15 D18 I11 D34:D35 D38 D45:D46 D49 I34 D60:D61 D63 D68:D69 D72 I60" xr:uid="{6848D41B-ACD0-411F-9269-B629141A44CA}">
      <formula1>0</formula1>
    </dataValidation>
    <dataValidation type="whole" operator="greaterThan" allowBlank="1" showInputMessage="1" showErrorMessage="1" sqref="D11 D20 M11 D65 D74" xr:uid="{B35F1D8C-0608-4719-9026-F9C62DCCA9B9}">
      <formula1>0</formula1>
    </dataValidation>
    <dataValidation type="decimal" allowBlank="1" showInputMessage="1" showErrorMessage="1" sqref="I8" xr:uid="{0C072351-4AF1-485B-B518-11753FC5F580}">
      <formula1>0</formula1>
      <formula2>I6</formula2>
    </dataValidation>
    <dataValidation type="decimal" operator="greaterThan" allowBlank="1" showInputMessage="1" showErrorMessage="1" sqref="I6" xr:uid="{63B280CC-60E5-4C02-9519-05C8B8F08CB6}">
      <formula1>I8</formula1>
    </dataValidation>
    <dataValidation type="decimal" allowBlank="1" showInputMessage="1" showErrorMessage="1" sqref="D24:D25 D40 D51 D78 D79 D77" xr:uid="{E0D0D449-2BFD-4E03-80D3-59CFA4159300}">
      <formula1>0</formula1>
      <formula2>1</formula2>
    </dataValidation>
    <dataValidation type="decimal" operator="greaterThanOrEqual" allowBlank="1" showInputMessage="1" showErrorMessage="1" sqref="D41" xr:uid="{4A2A6F19-4B20-4E2D-B1E4-280219C6174F}">
      <formula1>0</formula1>
    </dataValidation>
  </dataValidation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DA8397-0C3B-4C7F-B319-81EF5C21BD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vt:i4>
      </vt:variant>
    </vt:vector>
  </HeadingPairs>
  <TitlesOfParts>
    <vt:vector size="28" baseType="lpstr">
      <vt:lpstr>yard notice</vt:lpstr>
      <vt:lpstr>Thermal</vt:lpstr>
      <vt:lpstr>Material</vt:lpstr>
      <vt:lpstr>Explosive</vt:lpstr>
      <vt:lpstr>Propulsion</vt:lpstr>
      <vt:lpstr>A.W.M.</vt:lpstr>
      <vt:lpstr>Iso</vt:lpstr>
      <vt:lpstr>Rad.Shd</vt:lpstr>
      <vt:lpstr>Misc.Ref</vt:lpstr>
      <vt:lpstr>Orion</vt:lpstr>
      <vt:lpstr>Shaped Charge</vt:lpstr>
      <vt:lpstr>Nuke</vt:lpstr>
      <vt:lpstr>Reactor</vt:lpstr>
      <vt:lpstr>Detection</vt:lpstr>
      <vt:lpstr>Gun</vt:lpstr>
      <vt:lpstr>Railgun</vt:lpstr>
      <vt:lpstr>Flak</vt:lpstr>
      <vt:lpstr>Particle Beam</vt:lpstr>
      <vt:lpstr>C.M.</vt:lpstr>
      <vt:lpstr>S.I.</vt:lpstr>
      <vt:lpstr>CW Laser</vt:lpstr>
      <vt:lpstr>Terminal</vt:lpstr>
      <vt:lpstr>Leak</vt:lpstr>
      <vt:lpstr>Hit</vt:lpstr>
      <vt:lpstr>Cone_Length</vt:lpstr>
      <vt:lpstr>Diameter_of_Charge</vt:lpstr>
      <vt:lpstr>Reactor!Neutron_Flux</vt:lpstr>
      <vt:lpstr>Point_Blank_Pen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Fenix</dc:creator>
  <cp:lastModifiedBy>Fenix</cp:lastModifiedBy>
  <dcterms:created xsi:type="dcterms:W3CDTF">2019-09-21T12:29:12Z</dcterms:created>
  <dcterms:modified xsi:type="dcterms:W3CDTF">2020-05-25T03:32:40Z</dcterms:modified>
</cp:coreProperties>
</file>